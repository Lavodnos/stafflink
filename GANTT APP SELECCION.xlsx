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 _DOCKER\stafflink\"/>
    </mc:Choice>
  </mc:AlternateContent>
  <bookViews>
    <workbookView xWindow="0" yWindow="0" windowWidth="28800" windowHeight="11880" activeTab="1"/>
  </bookViews>
  <sheets>
    <sheet name="Instrucciones de Uso" sheetId="3" r:id="rId1"/>
    <sheet name="Información del proyecto" sheetId="1" r:id="rId2"/>
    <sheet name="Reportes" sheetId="2" r:id="rId3"/>
  </sheets>
  <definedNames>
    <definedName name="_Fill" hidden="1">#REF!</definedName>
    <definedName name="Días">OFFSET(Reportes!$O$6,1,0,COUNTA(Reportes!$N$7:$N$107)-COUNTIF(Reportes!$N$7:$N$26,"")+1,1)</definedName>
    <definedName name="Etapa">OFFSET(Reportes!$N$6,1,0,COUNTA(Reportes!$N$7:$N$107)-COUNTIF(Reportes!$N$7:$N$26,"")+1,1)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E26" i="1" l="1"/>
  <c r="DF26" i="1"/>
  <c r="DE27" i="1"/>
  <c r="DF27" i="1"/>
  <c r="DE28" i="1"/>
  <c r="DF28" i="1"/>
  <c r="DE29" i="1"/>
  <c r="DF29" i="1"/>
  <c r="DE30" i="1"/>
  <c r="DF30" i="1"/>
  <c r="DE31" i="1"/>
  <c r="DF31" i="1"/>
  <c r="DE32" i="1"/>
  <c r="DF32" i="1"/>
  <c r="DE33" i="1"/>
  <c r="DF33" i="1"/>
  <c r="DE34" i="1"/>
  <c r="DF34" i="1"/>
  <c r="DE35" i="1"/>
  <c r="DF35" i="1"/>
  <c r="DE36" i="1"/>
  <c r="DF36" i="1"/>
  <c r="DE37" i="1"/>
  <c r="DF37" i="1"/>
  <c r="DE38" i="1"/>
  <c r="DF38" i="1"/>
  <c r="DE39" i="1"/>
  <c r="DF39" i="1"/>
  <c r="DE40" i="1"/>
  <c r="DF40" i="1"/>
  <c r="DE41" i="1"/>
  <c r="DF41" i="1"/>
  <c r="DE42" i="1"/>
  <c r="DF42" i="1"/>
  <c r="DE43" i="1"/>
  <c r="DF43" i="1"/>
  <c r="DE44" i="1"/>
  <c r="DF44" i="1"/>
  <c r="DE45" i="1"/>
  <c r="DF45" i="1"/>
  <c r="DE46" i="1"/>
  <c r="DF46" i="1"/>
  <c r="DE47" i="1"/>
  <c r="DF47" i="1"/>
  <c r="DE48" i="1"/>
  <c r="DF48" i="1"/>
  <c r="DE49" i="1"/>
  <c r="DF49" i="1"/>
  <c r="DE50" i="1"/>
  <c r="DF50" i="1"/>
  <c r="DE51" i="1"/>
  <c r="DF51" i="1"/>
  <c r="DE52" i="1"/>
  <c r="DF52" i="1"/>
  <c r="DE53" i="1"/>
  <c r="DF53" i="1"/>
  <c r="DE54" i="1"/>
  <c r="DF54" i="1"/>
  <c r="DE55" i="1"/>
  <c r="DF55" i="1"/>
  <c r="DE56" i="1"/>
  <c r="DF56" i="1"/>
  <c r="DE57" i="1"/>
  <c r="DF57" i="1"/>
  <c r="DE58" i="1"/>
  <c r="DF58" i="1"/>
  <c r="DE59" i="1"/>
  <c r="DF59" i="1"/>
  <c r="DE60" i="1"/>
  <c r="DF60" i="1"/>
  <c r="DE61" i="1"/>
  <c r="DF61" i="1"/>
  <c r="R9" i="2"/>
  <c r="R8" i="2"/>
  <c r="R7" i="2"/>
  <c r="R6" i="2"/>
  <c r="N56" i="2"/>
  <c r="O5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B48" i="1"/>
  <c r="B49" i="1"/>
  <c r="B50" i="1"/>
  <c r="B51" i="1" s="1"/>
  <c r="B52" i="1" s="1"/>
  <c r="B53" i="1" s="1"/>
  <c r="B54" i="1" s="1"/>
  <c r="B55" i="1" s="1"/>
  <c r="B56" i="1"/>
  <c r="B57" i="1" s="1"/>
  <c r="B58" i="1" s="1"/>
  <c r="B59" i="1" s="1"/>
  <c r="B60" i="1" s="1"/>
  <c r="B61" i="1" s="1"/>
  <c r="DE23" i="1"/>
  <c r="DF23" i="1"/>
  <c r="DE17" i="1"/>
  <c r="DF17" i="1"/>
  <c r="DE16" i="1"/>
  <c r="DF16" i="1"/>
  <c r="O16" i="2"/>
  <c r="O17" i="2"/>
  <c r="O18" i="2"/>
  <c r="O19" i="2"/>
  <c r="O20" i="2"/>
  <c r="O21" i="2"/>
  <c r="O22" i="2"/>
  <c r="O23" i="2"/>
  <c r="O24" i="2"/>
  <c r="O25" i="2"/>
  <c r="O26" i="2"/>
  <c r="N16" i="2"/>
  <c r="N17" i="2"/>
  <c r="N18" i="2"/>
  <c r="N19" i="2"/>
  <c r="N20" i="2"/>
  <c r="N21" i="2"/>
  <c r="N22" i="2"/>
  <c r="N23" i="2"/>
  <c r="N24" i="2"/>
  <c r="N25" i="2"/>
  <c r="N26" i="2"/>
  <c r="H9" i="1"/>
  <c r="H10" i="1" s="1"/>
  <c r="I10" i="1" s="1"/>
  <c r="H11" i="1" l="1"/>
  <c r="I11" i="1" s="1"/>
  <c r="B9" i="1"/>
  <c r="H12" i="1" l="1"/>
  <c r="I12" i="1" s="1"/>
  <c r="B10" i="1"/>
  <c r="B11" i="1" s="1"/>
  <c r="B12" i="1"/>
  <c r="B13" i="1" s="1"/>
  <c r="B14" i="1" s="1"/>
  <c r="B15" i="1" s="1"/>
  <c r="B19" i="1" s="1"/>
  <c r="B20" i="1" s="1"/>
  <c r="B21" i="1" s="1"/>
  <c r="B22" i="1" s="1"/>
  <c r="D6" i="1"/>
  <c r="O8" i="1"/>
  <c r="DF24" i="1"/>
  <c r="DF25" i="1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O7" i="2"/>
  <c r="N7" i="2"/>
  <c r="C4" i="2"/>
  <c r="DE24" i="1"/>
  <c r="DE25" i="1"/>
  <c r="C3" i="2"/>
  <c r="C5" i="2" s="1"/>
  <c r="B23" i="1" l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P8" i="1"/>
  <c r="I9" i="1"/>
  <c r="O9" i="1" s="1"/>
  <c r="M9" i="1"/>
  <c r="DE9" i="1" s="1"/>
  <c r="C6" i="2"/>
  <c r="H13" i="1" l="1"/>
  <c r="Q8" i="1"/>
  <c r="Q9" i="1" s="1"/>
  <c r="P9" i="1"/>
  <c r="DF9" i="1"/>
  <c r="H14" i="1" l="1"/>
  <c r="I14" i="1" s="1"/>
  <c r="H15" i="1" s="1"/>
  <c r="I15" i="1" s="1"/>
  <c r="H16" i="1" s="1"/>
  <c r="I16" i="1" s="1"/>
  <c r="I13" i="1"/>
  <c r="R8" i="1"/>
  <c r="H17" i="1" l="1"/>
  <c r="I17" i="1" s="1"/>
  <c r="H18" i="1" s="1"/>
  <c r="S8" i="1"/>
  <c r="R9" i="1"/>
  <c r="H19" i="1" l="1"/>
  <c r="I19" i="1" s="1"/>
  <c r="I18" i="1"/>
  <c r="S9" i="1"/>
  <c r="T8" i="1"/>
  <c r="H20" i="1" l="1"/>
  <c r="I20" i="1" s="1"/>
  <c r="T9" i="1"/>
  <c r="U8" i="1"/>
  <c r="H21" i="1" l="1"/>
  <c r="I21" i="1" s="1"/>
  <c r="V8" i="1"/>
  <c r="U9" i="1"/>
  <c r="H22" i="1" l="1"/>
  <c r="I22" i="1" s="1"/>
  <c r="H23" i="1" s="1"/>
  <c r="W8" i="1"/>
  <c r="V9" i="1"/>
  <c r="H24" i="1" l="1"/>
  <c r="I24" i="1" s="1"/>
  <c r="I23" i="1"/>
  <c r="X8" i="1"/>
  <c r="W9" i="1"/>
  <c r="H25" i="1" l="1"/>
  <c r="I25" i="1" s="1"/>
  <c r="Y8" i="1"/>
  <c r="X9" i="1"/>
  <c r="H26" i="1" l="1"/>
  <c r="I26" i="1" s="1"/>
  <c r="Z8" i="1"/>
  <c r="Y9" i="1"/>
  <c r="H27" i="1" l="1"/>
  <c r="I27" i="1" s="1"/>
  <c r="AA8" i="1"/>
  <c r="Z9" i="1"/>
  <c r="H28" i="1" l="1"/>
  <c r="I28" i="1" s="1"/>
  <c r="AB8" i="1"/>
  <c r="AA9" i="1"/>
  <c r="H29" i="1" l="1"/>
  <c r="I29" i="1" s="1"/>
  <c r="AC8" i="1"/>
  <c r="AB9" i="1"/>
  <c r="H30" i="1" l="1"/>
  <c r="I30" i="1" s="1"/>
  <c r="AC9" i="1"/>
  <c r="AD8" i="1"/>
  <c r="H31" i="1" l="1"/>
  <c r="I31" i="1" s="1"/>
  <c r="H32" i="1" s="1"/>
  <c r="AD9" i="1"/>
  <c r="AE8" i="1"/>
  <c r="H33" i="1" l="1"/>
  <c r="I33" i="1" s="1"/>
  <c r="I32" i="1"/>
  <c r="AE9" i="1"/>
  <c r="AF8" i="1"/>
  <c r="H34" i="1" l="1"/>
  <c r="I34" i="1" s="1"/>
  <c r="AF9" i="1"/>
  <c r="AG8" i="1"/>
  <c r="H35" i="1" l="1"/>
  <c r="I35" i="1" s="1"/>
  <c r="H36" i="1" s="1"/>
  <c r="AH8" i="1"/>
  <c r="AG9" i="1"/>
  <c r="H37" i="1" l="1"/>
  <c r="I37" i="1" s="1"/>
  <c r="I36" i="1"/>
  <c r="AH9" i="1"/>
  <c r="AI8" i="1"/>
  <c r="H38" i="1" l="1"/>
  <c r="I38" i="1" s="1"/>
  <c r="AJ8" i="1"/>
  <c r="AI9" i="1"/>
  <c r="H39" i="1" l="1"/>
  <c r="I39" i="1" s="1"/>
  <c r="AJ9" i="1"/>
  <c r="AK8" i="1"/>
  <c r="H40" i="1" l="1"/>
  <c r="I40" i="1" s="1"/>
  <c r="AK9" i="1"/>
  <c r="AL8" i="1"/>
  <c r="H41" i="1" l="1"/>
  <c r="I41" i="1" s="1"/>
  <c r="AL9" i="1"/>
  <c r="AM8" i="1"/>
  <c r="H42" i="1" l="1"/>
  <c r="I42" i="1" s="1"/>
  <c r="AM9" i="1"/>
  <c r="AN8" i="1"/>
  <c r="H43" i="1" l="1"/>
  <c r="I43" i="1" s="1"/>
  <c r="AN9" i="1"/>
  <c r="AO8" i="1"/>
  <c r="H44" i="1" l="1"/>
  <c r="I44" i="1" s="1"/>
  <c r="AO9" i="1"/>
  <c r="AP8" i="1"/>
  <c r="H45" i="1" l="1"/>
  <c r="I45" i="1" s="1"/>
  <c r="AQ8" i="1"/>
  <c r="AP9" i="1"/>
  <c r="H46" i="1" l="1"/>
  <c r="I46" i="1" s="1"/>
  <c r="AR8" i="1"/>
  <c r="AQ9" i="1"/>
  <c r="H47" i="1" l="1"/>
  <c r="I47" i="1" s="1"/>
  <c r="AS8" i="1"/>
  <c r="AR9" i="1"/>
  <c r="H48" i="1" l="1"/>
  <c r="I48" i="1" s="1"/>
  <c r="AT8" i="1"/>
  <c r="AS9" i="1"/>
  <c r="H49" i="1" l="1"/>
  <c r="I49" i="1" s="1"/>
  <c r="AU8" i="1"/>
  <c r="AT9" i="1"/>
  <c r="H50" i="1" l="1"/>
  <c r="I50" i="1" s="1"/>
  <c r="AV8" i="1"/>
  <c r="AU9" i="1"/>
  <c r="H51" i="1" l="1"/>
  <c r="H52" i="1" s="1"/>
  <c r="I52" i="1" s="1"/>
  <c r="H53" i="1" s="1"/>
  <c r="I53" i="1" s="1"/>
  <c r="H54" i="1" s="1"/>
  <c r="I54" i="1" s="1"/>
  <c r="AW8" i="1"/>
  <c r="AV9" i="1"/>
  <c r="I51" i="1" l="1"/>
  <c r="H55" i="1" s="1"/>
  <c r="AX8" i="1"/>
  <c r="AW9" i="1"/>
  <c r="I55" i="1" l="1"/>
  <c r="H56" i="1"/>
  <c r="I56" i="1" s="1"/>
  <c r="H57" i="1" s="1"/>
  <c r="I57" i="1" s="1"/>
  <c r="H58" i="1" s="1"/>
  <c r="I58" i="1" s="1"/>
  <c r="H59" i="1" s="1"/>
  <c r="I59" i="1" s="1"/>
  <c r="AX9" i="1"/>
  <c r="AY8" i="1"/>
  <c r="H60" i="1" l="1"/>
  <c r="I60" i="1" s="1"/>
  <c r="H61" i="1" s="1"/>
  <c r="I61" i="1" s="1"/>
  <c r="AZ8" i="1"/>
  <c r="AY9" i="1"/>
  <c r="BA8" i="1" l="1"/>
  <c r="AZ9" i="1"/>
  <c r="BB8" i="1" l="1"/>
  <c r="BA9" i="1"/>
  <c r="BB9" i="1" l="1"/>
  <c r="BC8" i="1"/>
  <c r="BC9" i="1" l="1"/>
  <c r="BD8" i="1"/>
  <c r="BD9" i="1" l="1"/>
  <c r="BE8" i="1"/>
  <c r="BF8" i="1" l="1"/>
  <c r="BE9" i="1"/>
  <c r="BG8" i="1" l="1"/>
  <c r="BF9" i="1"/>
  <c r="BH8" i="1" l="1"/>
  <c r="BG9" i="1"/>
  <c r="BI8" i="1" l="1"/>
  <c r="BH9" i="1"/>
  <c r="BI9" i="1" l="1"/>
  <c r="BJ8" i="1"/>
  <c r="BK8" i="1" l="1"/>
  <c r="BJ9" i="1"/>
  <c r="BK9" i="1" l="1"/>
  <c r="BL8" i="1"/>
  <c r="BM8" i="1" l="1"/>
  <c r="BL9" i="1"/>
  <c r="BN8" i="1" l="1"/>
  <c r="BM9" i="1"/>
  <c r="BO8" i="1" l="1"/>
  <c r="BN9" i="1"/>
  <c r="BP8" i="1" l="1"/>
  <c r="BO9" i="1"/>
  <c r="BP9" i="1" l="1"/>
  <c r="BQ8" i="1"/>
  <c r="BQ9" i="1" l="1"/>
  <c r="BR8" i="1"/>
  <c r="BS8" i="1" l="1"/>
  <c r="BR9" i="1"/>
  <c r="BT8" i="1" l="1"/>
  <c r="BS9" i="1"/>
  <c r="BU8" i="1" l="1"/>
  <c r="BT9" i="1"/>
  <c r="BU9" i="1" l="1"/>
  <c r="BV8" i="1"/>
  <c r="BV9" i="1" l="1"/>
  <c r="BW8" i="1"/>
  <c r="BX8" i="1" l="1"/>
  <c r="BW9" i="1"/>
  <c r="BY8" i="1" l="1"/>
  <c r="BX9" i="1"/>
  <c r="BZ8" i="1" l="1"/>
  <c r="BY9" i="1"/>
  <c r="CA8" i="1" l="1"/>
  <c r="BZ9" i="1"/>
  <c r="CB8" i="1" l="1"/>
  <c r="CA9" i="1"/>
  <c r="CB9" i="1" l="1"/>
  <c r="CC8" i="1"/>
  <c r="CD8" i="1" l="1"/>
  <c r="CC9" i="1"/>
  <c r="CE8" i="1" l="1"/>
  <c r="CD9" i="1"/>
  <c r="CF8" i="1" l="1"/>
  <c r="CE9" i="1"/>
  <c r="CG8" i="1" l="1"/>
  <c r="CF9" i="1"/>
  <c r="CG9" i="1" l="1"/>
  <c r="CH8" i="1"/>
  <c r="CH9" i="1" l="1"/>
  <c r="CI8" i="1"/>
  <c r="CJ8" i="1" l="1"/>
  <c r="CI9" i="1"/>
  <c r="CK8" i="1" l="1"/>
  <c r="CJ9" i="1"/>
  <c r="CL8" i="1" l="1"/>
  <c r="CK9" i="1"/>
  <c r="CM8" i="1" l="1"/>
  <c r="CL9" i="1"/>
  <c r="CM9" i="1" l="1"/>
  <c r="CN8" i="1"/>
  <c r="CN9" i="1" l="1"/>
  <c r="CO8" i="1"/>
  <c r="CO9" i="1" l="1"/>
  <c r="CP8" i="1"/>
  <c r="CP9" i="1" l="1"/>
  <c r="CQ8" i="1"/>
  <c r="CR8" i="1" l="1"/>
  <c r="CQ9" i="1"/>
  <c r="CS8" i="1" l="1"/>
  <c r="CR9" i="1"/>
  <c r="CT8" i="1" l="1"/>
  <c r="CS9" i="1"/>
  <c r="CU8" i="1" l="1"/>
  <c r="CT9" i="1"/>
  <c r="CU9" i="1" l="1"/>
  <c r="CV8" i="1"/>
  <c r="CV9" i="1" l="1"/>
  <c r="CW8" i="1"/>
  <c r="CW9" i="1" l="1"/>
  <c r="CX8" i="1"/>
  <c r="CX9" i="1" l="1"/>
  <c r="CY8" i="1"/>
  <c r="CZ8" i="1" l="1"/>
  <c r="CY9" i="1"/>
  <c r="CZ9" i="1" l="1"/>
  <c r="DA8" i="1"/>
  <c r="AD10" i="1"/>
  <c r="M10" i="1"/>
  <c r="DB8" i="1" l="1"/>
  <c r="DA9" i="1"/>
  <c r="AU10" i="1"/>
  <c r="CL10" i="1"/>
  <c r="BC10" i="1"/>
  <c r="BB10" i="1"/>
  <c r="CQ10" i="1"/>
  <c r="T10" i="1"/>
  <c r="AC10" i="1"/>
  <c r="CR10" i="1"/>
  <c r="AH10" i="1"/>
  <c r="AV10" i="1"/>
  <c r="V10" i="1"/>
  <c r="CX10" i="1"/>
  <c r="AP10" i="1"/>
  <c r="AS10" i="1"/>
  <c r="AN10" i="1"/>
  <c r="AR10" i="1"/>
  <c r="CB10" i="1"/>
  <c r="BD10" i="1"/>
  <c r="BK10" i="1"/>
  <c r="BQ10" i="1"/>
  <c r="CT10" i="1"/>
  <c r="CD10" i="1"/>
  <c r="BZ10" i="1"/>
  <c r="U10" i="1"/>
  <c r="BX10" i="1"/>
  <c r="AK10" i="1"/>
  <c r="CE10" i="1"/>
  <c r="BA10" i="1"/>
  <c r="CY10" i="1"/>
  <c r="AM10" i="1"/>
  <c r="CG10" i="1"/>
  <c r="BN10" i="1"/>
  <c r="BY10" i="1"/>
  <c r="BI10" i="1"/>
  <c r="W10" i="1"/>
  <c r="BR10" i="1"/>
  <c r="CI10" i="1"/>
  <c r="CA10" i="1"/>
  <c r="BS10" i="1"/>
  <c r="BW10" i="1"/>
  <c r="AX10" i="1"/>
  <c r="AE10" i="1"/>
  <c r="CW10" i="1"/>
  <c r="CN10" i="1"/>
  <c r="AA10" i="1"/>
  <c r="CJ10" i="1"/>
  <c r="BL10" i="1"/>
  <c r="CU10" i="1"/>
  <c r="O10" i="1"/>
  <c r="BE10" i="1"/>
  <c r="AI10" i="1"/>
  <c r="BM10" i="1"/>
  <c r="AQ10" i="1"/>
  <c r="AO10" i="1"/>
  <c r="CK10" i="1"/>
  <c r="CZ10" i="1"/>
  <c r="BT10" i="1"/>
  <c r="CS10" i="1"/>
  <c r="AF10" i="1"/>
  <c r="X10" i="1"/>
  <c r="BV10" i="1"/>
  <c r="BP10" i="1"/>
  <c r="CC10" i="1"/>
  <c r="CF10" i="1"/>
  <c r="DB10" i="1"/>
  <c r="CM10" i="1"/>
  <c r="BO10" i="1"/>
  <c r="DF10" i="1"/>
  <c r="DE10" i="1"/>
  <c r="AG10" i="1"/>
  <c r="S10" i="1"/>
  <c r="Z10" i="1"/>
  <c r="CO10" i="1"/>
  <c r="BG10" i="1"/>
  <c r="Y10" i="1"/>
  <c r="AL10" i="1"/>
  <c r="CP10" i="1"/>
  <c r="DA10" i="1"/>
  <c r="CV10" i="1"/>
  <c r="R10" i="1"/>
  <c r="AB10" i="1"/>
  <c r="AY10" i="1"/>
  <c r="AZ10" i="1"/>
  <c r="BF10" i="1"/>
  <c r="AJ10" i="1"/>
  <c r="AW10" i="1"/>
  <c r="AT10" i="1"/>
  <c r="Q10" i="1"/>
  <c r="BU10" i="1"/>
  <c r="BJ10" i="1"/>
  <c r="BH10" i="1"/>
  <c r="CH10" i="1"/>
  <c r="P10" i="1"/>
  <c r="DC8" i="1" l="1"/>
  <c r="DB9" i="1"/>
  <c r="M11" i="1"/>
  <c r="DC9" i="1" l="1"/>
  <c r="DC10" i="1"/>
  <c r="CM11" i="1"/>
  <c r="AP11" i="1"/>
  <c r="BV11" i="1"/>
  <c r="R11" i="1"/>
  <c r="CO11" i="1"/>
  <c r="CU11" i="1"/>
  <c r="CR11" i="1"/>
  <c r="BG11" i="1"/>
  <c r="Q11" i="1"/>
  <c r="U11" i="1"/>
  <c r="BR11" i="1"/>
  <c r="BO11" i="1"/>
  <c r="CP11" i="1"/>
  <c r="AY11" i="1"/>
  <c r="BL11" i="1"/>
  <c r="AF11" i="1"/>
  <c r="T11" i="1"/>
  <c r="CW11" i="1"/>
  <c r="BS11" i="1"/>
  <c r="BN11" i="1"/>
  <c r="CS11" i="1"/>
  <c r="CD11" i="1"/>
  <c r="AZ11" i="1"/>
  <c r="BH11" i="1"/>
  <c r="CF11" i="1"/>
  <c r="AH11" i="1"/>
  <c r="DA11" i="1"/>
  <c r="AV11" i="1"/>
  <c r="BK11" i="1"/>
  <c r="CC11" i="1"/>
  <c r="AJ11" i="1"/>
  <c r="AQ11" i="1"/>
  <c r="CA11" i="1"/>
  <c r="AA11" i="1"/>
  <c r="AT11" i="1"/>
  <c r="BM11" i="1"/>
  <c r="BF11" i="1"/>
  <c r="BP11" i="1"/>
  <c r="Z11" i="1"/>
  <c r="AI11" i="1"/>
  <c r="BA11" i="1"/>
  <c r="BY11" i="1"/>
  <c r="DC11" i="1"/>
  <c r="AM11" i="1"/>
  <c r="BI11" i="1"/>
  <c r="CL11" i="1"/>
  <c r="AE11" i="1"/>
  <c r="P11" i="1"/>
  <c r="CJ11" i="1"/>
  <c r="CG11" i="1"/>
  <c r="AB11" i="1"/>
  <c r="BX11" i="1"/>
  <c r="AK11" i="1"/>
  <c r="BD11" i="1"/>
  <c r="AL11" i="1"/>
  <c r="O11" i="1"/>
  <c r="DE11" i="1"/>
  <c r="DF11" i="1"/>
  <c r="AW11" i="1"/>
  <c r="CH11" i="1"/>
  <c r="CN11" i="1"/>
  <c r="AC11" i="1"/>
  <c r="BW11" i="1"/>
  <c r="CI11" i="1"/>
  <c r="M12" i="1"/>
  <c r="CB11" i="1"/>
  <c r="DB11" i="1"/>
  <c r="CK11" i="1"/>
  <c r="AN11" i="1"/>
  <c r="AO11" i="1"/>
  <c r="CV11" i="1"/>
  <c r="CY11" i="1"/>
  <c r="BC11" i="1"/>
  <c r="V11" i="1"/>
  <c r="AD11" i="1"/>
  <c r="CZ11" i="1"/>
  <c r="AU11" i="1"/>
  <c r="X11" i="1"/>
  <c r="W11" i="1"/>
  <c r="AR11" i="1"/>
  <c r="CT11" i="1"/>
  <c r="BB11" i="1"/>
  <c r="BE11" i="1"/>
  <c r="CE11" i="1"/>
  <c r="BU11" i="1"/>
  <c r="BZ11" i="1"/>
  <c r="CQ11" i="1"/>
  <c r="CX11" i="1"/>
  <c r="BJ11" i="1"/>
  <c r="BT11" i="1"/>
  <c r="S11" i="1"/>
  <c r="Y11" i="1"/>
  <c r="AX11" i="1"/>
  <c r="AS11" i="1"/>
  <c r="AG11" i="1"/>
  <c r="BQ11" i="1"/>
  <c r="CH12" i="1" l="1"/>
  <c r="BP12" i="1"/>
  <c r="DE12" i="1"/>
  <c r="DF12" i="1"/>
  <c r="AZ12" i="1"/>
  <c r="CX12" i="1"/>
  <c r="CJ12" i="1"/>
  <c r="CE12" i="1"/>
  <c r="CG12" i="1"/>
  <c r="CD12" i="1"/>
  <c r="CR12" i="1"/>
  <c r="AY12" i="1"/>
  <c r="BW12" i="1"/>
  <c r="BL12" i="1"/>
  <c r="BU12" i="1"/>
  <c r="DC12" i="1"/>
  <c r="S12" i="1"/>
  <c r="T12" i="1"/>
  <c r="BV12" i="1"/>
  <c r="BD12" i="1"/>
  <c r="CA12" i="1"/>
  <c r="AQ12" i="1"/>
  <c r="AT12" i="1"/>
  <c r="CV12" i="1"/>
  <c r="BI12" i="1"/>
  <c r="W12" i="1"/>
  <c r="AM12" i="1"/>
  <c r="BK12" i="1"/>
  <c r="CO12" i="1"/>
  <c r="U12" i="1"/>
  <c r="CF12" i="1"/>
  <c r="Y12" i="1"/>
  <c r="BX12" i="1"/>
  <c r="AE12" i="1"/>
  <c r="CS12" i="1"/>
  <c r="AU12" i="1"/>
  <c r="CM12" i="1"/>
  <c r="BY12" i="1"/>
  <c r="CT12" i="1"/>
  <c r="AP12" i="1"/>
  <c r="AX12" i="1"/>
  <c r="BF12" i="1"/>
  <c r="M13" i="1"/>
  <c r="X12" i="1"/>
  <c r="BN12" i="1"/>
  <c r="CI12" i="1"/>
  <c r="BZ12" i="1"/>
  <c r="CZ12" i="1"/>
  <c r="V12" i="1"/>
  <c r="AH12" i="1"/>
  <c r="R12" i="1"/>
  <c r="CY12" i="1"/>
  <c r="AJ12" i="1"/>
  <c r="DB12" i="1"/>
  <c r="AF12" i="1"/>
  <c r="AG12" i="1"/>
  <c r="CN12" i="1"/>
  <c r="AB12" i="1"/>
  <c r="BO12" i="1"/>
  <c r="AC12" i="1"/>
  <c r="AI12" i="1"/>
  <c r="CL12" i="1"/>
  <c r="Z12" i="1"/>
  <c r="AK12" i="1"/>
  <c r="BB12" i="1"/>
  <c r="BR12" i="1"/>
  <c r="AW12" i="1"/>
  <c r="Q12" i="1"/>
  <c r="BS12" i="1"/>
  <c r="BQ12" i="1"/>
  <c r="BE12" i="1"/>
  <c r="DA12" i="1"/>
  <c r="CQ12" i="1"/>
  <c r="BJ12" i="1"/>
  <c r="BC12" i="1"/>
  <c r="BT12" i="1"/>
  <c r="BH12" i="1"/>
  <c r="AN12" i="1"/>
  <c r="O12" i="1"/>
  <c r="P12" i="1"/>
  <c r="AR12" i="1"/>
  <c r="CB12" i="1"/>
  <c r="BG12" i="1"/>
  <c r="CC12" i="1"/>
  <c r="BM12" i="1"/>
  <c r="CW12" i="1"/>
  <c r="CK12" i="1"/>
  <c r="BA12" i="1"/>
  <c r="CP12" i="1"/>
  <c r="AA12" i="1"/>
  <c r="AD12" i="1"/>
  <c r="AV12" i="1"/>
  <c r="AS12" i="1"/>
  <c r="CU12" i="1"/>
  <c r="AO12" i="1"/>
  <c r="AL12" i="1"/>
  <c r="DF13" i="1" l="1"/>
  <c r="DE13" i="1"/>
  <c r="AP13" i="1"/>
  <c r="AW13" i="1"/>
  <c r="V13" i="1"/>
  <c r="Y13" i="1"/>
  <c r="CB13" i="1"/>
  <c r="CW13" i="1"/>
  <c r="BH13" i="1"/>
  <c r="Z13" i="1"/>
  <c r="S13" i="1"/>
  <c r="AM13" i="1"/>
  <c r="CQ13" i="1"/>
  <c r="CC13" i="1"/>
  <c r="CP13" i="1"/>
  <c r="AK13" i="1"/>
  <c r="CM13" i="1"/>
  <c r="BN13" i="1"/>
  <c r="BU13" i="1"/>
  <c r="BR13" i="1"/>
  <c r="CH13" i="1"/>
  <c r="BM13" i="1"/>
  <c r="CR13" i="1"/>
  <c r="CU13" i="1"/>
  <c r="O13" i="1"/>
  <c r="CJ13" i="1"/>
  <c r="AY13" i="1"/>
  <c r="CZ13" i="1"/>
  <c r="CX13" i="1"/>
  <c r="BF13" i="1"/>
  <c r="BQ13" i="1"/>
  <c r="AG13" i="1"/>
  <c r="BG13" i="1"/>
  <c r="BB13" i="1"/>
  <c r="AT13" i="1"/>
  <c r="AV13" i="1"/>
  <c r="R13" i="1"/>
  <c r="CY13" i="1"/>
  <c r="CG13" i="1"/>
  <c r="CK13" i="1"/>
  <c r="AU13" i="1"/>
  <c r="AS13" i="1"/>
  <c r="AJ13" i="1"/>
  <c r="CT13" i="1"/>
  <c r="AA13" i="1"/>
  <c r="DA13" i="1"/>
  <c r="BS13" i="1"/>
  <c r="BZ13" i="1"/>
  <c r="BC13" i="1"/>
  <c r="AD13" i="1"/>
  <c r="M14" i="1"/>
  <c r="AB13" i="1"/>
  <c r="BI13" i="1"/>
  <c r="P13" i="1"/>
  <c r="AO13" i="1"/>
  <c r="W13" i="1"/>
  <c r="BY13" i="1"/>
  <c r="CA13" i="1"/>
  <c r="CS13" i="1"/>
  <c r="AN13" i="1"/>
  <c r="T13" i="1"/>
  <c r="X13" i="1"/>
  <c r="CD13" i="1"/>
  <c r="CF13" i="1"/>
  <c r="DB13" i="1"/>
  <c r="BV13" i="1"/>
  <c r="BW13" i="1"/>
  <c r="BJ13" i="1"/>
  <c r="BL13" i="1"/>
  <c r="DC13" i="1"/>
  <c r="Q13" i="1"/>
  <c r="BX13" i="1"/>
  <c r="CO13" i="1"/>
  <c r="CL13" i="1"/>
  <c r="AH13" i="1"/>
  <c r="AE13" i="1"/>
  <c r="BE13" i="1"/>
  <c r="CN13" i="1"/>
  <c r="AL13" i="1"/>
  <c r="BO13" i="1"/>
  <c r="AC13" i="1"/>
  <c r="BA13" i="1"/>
  <c r="AX13" i="1"/>
  <c r="AF13" i="1"/>
  <c r="CI13" i="1"/>
  <c r="AR13" i="1"/>
  <c r="CE13" i="1"/>
  <c r="AZ13" i="1"/>
  <c r="BT13" i="1"/>
  <c r="BP13" i="1"/>
  <c r="BD13" i="1"/>
  <c r="AI13" i="1"/>
  <c r="BK13" i="1"/>
  <c r="CV13" i="1"/>
  <c r="U13" i="1"/>
  <c r="AQ13" i="1"/>
  <c r="DE14" i="1" l="1"/>
  <c r="DF14" i="1"/>
  <c r="M15" i="1"/>
  <c r="CK14" i="1"/>
  <c r="Z14" i="1"/>
  <c r="CP14" i="1"/>
  <c r="AM14" i="1"/>
  <c r="CR14" i="1"/>
  <c r="BQ14" i="1"/>
  <c r="BE14" i="1"/>
  <c r="CV14" i="1"/>
  <c r="AQ14" i="1"/>
  <c r="BF14" i="1"/>
  <c r="AN14" i="1"/>
  <c r="CI14" i="1"/>
  <c r="AH14" i="1"/>
  <c r="AX14" i="1"/>
  <c r="AR14" i="1"/>
  <c r="BX14" i="1"/>
  <c r="CD14" i="1"/>
  <c r="AP14" i="1"/>
  <c r="Y14" i="1"/>
  <c r="BR14" i="1"/>
  <c r="AK14" i="1"/>
  <c r="BN14" i="1"/>
  <c r="CY14" i="1"/>
  <c r="CN14" i="1"/>
  <c r="AL14" i="1"/>
  <c r="AG14" i="1"/>
  <c r="CX14" i="1"/>
  <c r="BS14" i="1"/>
  <c r="CJ14" i="1"/>
  <c r="BD14" i="1"/>
  <c r="BB14" i="1"/>
  <c r="BV14" i="1"/>
  <c r="BT14" i="1"/>
  <c r="AA14" i="1"/>
  <c r="V14" i="1"/>
  <c r="AF14" i="1"/>
  <c r="CL14" i="1"/>
  <c r="CH14" i="1"/>
  <c r="CT14" i="1"/>
  <c r="AV14" i="1"/>
  <c r="CM14" i="1"/>
  <c r="AU14" i="1"/>
  <c r="BZ14" i="1"/>
  <c r="DA14" i="1"/>
  <c r="DB14" i="1"/>
  <c r="W14" i="1"/>
  <c r="BL14" i="1"/>
  <c r="BK14" i="1"/>
  <c r="Q14" i="1"/>
  <c r="CQ14" i="1"/>
  <c r="U14" i="1"/>
  <c r="O14" i="1"/>
  <c r="AZ14" i="1"/>
  <c r="AD14" i="1"/>
  <c r="CB14" i="1"/>
  <c r="BG14" i="1"/>
  <c r="AO14" i="1"/>
  <c r="CO14" i="1"/>
  <c r="AC14" i="1"/>
  <c r="CZ14" i="1"/>
  <c r="CC14" i="1"/>
  <c r="BI14" i="1"/>
  <c r="AS14" i="1"/>
  <c r="S14" i="1"/>
  <c r="BC14" i="1"/>
  <c r="CF14" i="1"/>
  <c r="BO14" i="1"/>
  <c r="CS14" i="1"/>
  <c r="AT14" i="1"/>
  <c r="BY14" i="1"/>
  <c r="DC14" i="1"/>
  <c r="AE14" i="1"/>
  <c r="CG14" i="1"/>
  <c r="AI14" i="1"/>
  <c r="BH14" i="1"/>
  <c r="CA14" i="1"/>
  <c r="AJ14" i="1"/>
  <c r="AY14" i="1"/>
  <c r="BM14" i="1"/>
  <c r="BP14" i="1"/>
  <c r="CE14" i="1"/>
  <c r="BA14" i="1"/>
  <c r="AW14" i="1"/>
  <c r="AB14" i="1"/>
  <c r="BU14" i="1"/>
  <c r="T14" i="1"/>
  <c r="BW14" i="1"/>
  <c r="R14" i="1"/>
  <c r="CU14" i="1"/>
  <c r="P14" i="1"/>
  <c r="X14" i="1"/>
  <c r="BJ14" i="1"/>
  <c r="CW14" i="1"/>
  <c r="DF15" i="1" l="1"/>
  <c r="DE15" i="1"/>
  <c r="CF15" i="1"/>
  <c r="AJ15" i="1"/>
  <c r="BE15" i="1"/>
  <c r="AN15" i="1"/>
  <c r="T15" i="1"/>
  <c r="BX15" i="1"/>
  <c r="BC15" i="1"/>
  <c r="BM15" i="1"/>
  <c r="AL15" i="1"/>
  <c r="AI15" i="1"/>
  <c r="BZ15" i="1"/>
  <c r="CX15" i="1"/>
  <c r="CI15" i="1"/>
  <c r="CZ15" i="1"/>
  <c r="CM15" i="1"/>
  <c r="CK15" i="1"/>
  <c r="BU15" i="1"/>
  <c r="V15" i="1"/>
  <c r="S15" i="1"/>
  <c r="BN15" i="1"/>
  <c r="AH15" i="1"/>
  <c r="CH15" i="1"/>
  <c r="P15" i="1"/>
  <c r="CQ15" i="1"/>
  <c r="CS15" i="1"/>
  <c r="BP15" i="1"/>
  <c r="CC15" i="1"/>
  <c r="AC15" i="1"/>
  <c r="AG15" i="1"/>
  <c r="Z15" i="1"/>
  <c r="BH15" i="1"/>
  <c r="CJ15" i="1"/>
  <c r="AV15" i="1"/>
  <c r="BO15" i="1"/>
  <c r="CV15" i="1"/>
  <c r="CY15" i="1"/>
  <c r="CR15" i="1"/>
  <c r="X15" i="1"/>
  <c r="BD15" i="1"/>
  <c r="AD15" i="1"/>
  <c r="R15" i="1"/>
  <c r="AS15" i="1"/>
  <c r="AW15" i="1"/>
  <c r="BA15" i="1"/>
  <c r="BF15" i="1"/>
  <c r="CO15" i="1"/>
  <c r="BJ15" i="1"/>
  <c r="BB15" i="1"/>
  <c r="CD15" i="1"/>
  <c r="AB15" i="1"/>
  <c r="BQ15" i="1"/>
  <c r="AY15" i="1"/>
  <c r="AZ15" i="1"/>
  <c r="CG15" i="1"/>
  <c r="Q15" i="1"/>
  <c r="BS15" i="1"/>
  <c r="CB15" i="1"/>
  <c r="CA15" i="1"/>
  <c r="U15" i="1"/>
  <c r="CT15" i="1"/>
  <c r="W15" i="1"/>
  <c r="AP15" i="1"/>
  <c r="BI15" i="1"/>
  <c r="BK15" i="1"/>
  <c r="CN15" i="1"/>
  <c r="BW15" i="1"/>
  <c r="CU15" i="1"/>
  <c r="AX15" i="1"/>
  <c r="AA15" i="1"/>
  <c r="DB15" i="1"/>
  <c r="CW15" i="1"/>
  <c r="BY15" i="1"/>
  <c r="Y15" i="1"/>
  <c r="AM15" i="1"/>
  <c r="AO15" i="1"/>
  <c r="CL15" i="1"/>
  <c r="BL15" i="1"/>
  <c r="DC15" i="1"/>
  <c r="BV15" i="1"/>
  <c r="CP15" i="1"/>
  <c r="BR15" i="1"/>
  <c r="AT15" i="1"/>
  <c r="CE15" i="1"/>
  <c r="BT15" i="1"/>
  <c r="AF15" i="1"/>
  <c r="O15" i="1"/>
  <c r="AQ15" i="1"/>
  <c r="AK15" i="1"/>
  <c r="BG15" i="1"/>
  <c r="AE15" i="1"/>
  <c r="DA15" i="1"/>
  <c r="AR15" i="1"/>
  <c r="AU15" i="1"/>
  <c r="M16" i="1" l="1"/>
  <c r="AS16" i="1" l="1"/>
  <c r="BW16" i="1"/>
  <c r="AM16" i="1"/>
  <c r="CO16" i="1"/>
  <c r="CI16" i="1"/>
  <c r="CC16" i="1"/>
  <c r="BQ16" i="1"/>
  <c r="AG16" i="1"/>
  <c r="BE16" i="1"/>
  <c r="AY16" i="1"/>
  <c r="DA16" i="1"/>
  <c r="CU16" i="1"/>
  <c r="BK16" i="1"/>
  <c r="AA16" i="1"/>
  <c r="U16" i="1"/>
  <c r="CT16" i="1"/>
  <c r="CH16" i="1"/>
  <c r="BV16" i="1"/>
  <c r="BJ16" i="1"/>
  <c r="AX16" i="1"/>
  <c r="AL16" i="1"/>
  <c r="AF16" i="1"/>
  <c r="T16" i="1"/>
  <c r="CY16" i="1"/>
  <c r="CS16" i="1"/>
  <c r="CM16" i="1"/>
  <c r="CG16" i="1"/>
  <c r="CA16" i="1"/>
  <c r="BU16" i="1"/>
  <c r="BO16" i="1"/>
  <c r="BI16" i="1"/>
  <c r="BC16" i="1"/>
  <c r="AW16" i="1"/>
  <c r="AQ16" i="1"/>
  <c r="AK16" i="1"/>
  <c r="AE16" i="1"/>
  <c r="Y16" i="1"/>
  <c r="S16" i="1"/>
  <c r="CX16" i="1"/>
  <c r="CR16" i="1"/>
  <c r="CL16" i="1"/>
  <c r="CF16" i="1"/>
  <c r="BZ16" i="1"/>
  <c r="BT16" i="1"/>
  <c r="BN16" i="1"/>
  <c r="BH16" i="1"/>
  <c r="BB16" i="1"/>
  <c r="AV16" i="1"/>
  <c r="AP16" i="1"/>
  <c r="AJ16" i="1"/>
  <c r="AD16" i="1"/>
  <c r="X16" i="1"/>
  <c r="R16" i="1"/>
  <c r="CZ16" i="1"/>
  <c r="CN16" i="1"/>
  <c r="CB16" i="1"/>
  <c r="BP16" i="1"/>
  <c r="BD16" i="1"/>
  <c r="AR16" i="1"/>
  <c r="Z16" i="1"/>
  <c r="DC16" i="1"/>
  <c r="CW16" i="1"/>
  <c r="CQ16" i="1"/>
  <c r="CK16" i="1"/>
  <c r="CE16" i="1"/>
  <c r="BY16" i="1"/>
  <c r="BS16" i="1"/>
  <c r="BM16" i="1"/>
  <c r="BG16" i="1"/>
  <c r="BA16" i="1"/>
  <c r="AU16" i="1"/>
  <c r="AO16" i="1"/>
  <c r="AI16" i="1"/>
  <c r="AC16" i="1"/>
  <c r="W16" i="1"/>
  <c r="Q16" i="1"/>
  <c r="DB16" i="1"/>
  <c r="CV16" i="1"/>
  <c r="CP16" i="1"/>
  <c r="CJ16" i="1"/>
  <c r="CD16" i="1"/>
  <c r="BX16" i="1"/>
  <c r="BR16" i="1"/>
  <c r="BL16" i="1"/>
  <c r="BF16" i="1"/>
  <c r="AZ16" i="1"/>
  <c r="AT16" i="1"/>
  <c r="AN16" i="1"/>
  <c r="AH16" i="1"/>
  <c r="AB16" i="1"/>
  <c r="V16" i="1"/>
  <c r="P16" i="1"/>
  <c r="O16" i="1"/>
  <c r="BF17" i="1"/>
  <c r="M17" i="1"/>
  <c r="Z17" i="1" l="1"/>
  <c r="AT17" i="1"/>
  <c r="AB17" i="1"/>
  <c r="AV17" i="1"/>
  <c r="BO17" i="1"/>
  <c r="CH17" i="1"/>
  <c r="DB17" i="1"/>
  <c r="BZ17" i="1"/>
  <c r="CS17" i="1"/>
  <c r="BD17" i="1"/>
  <c r="R17" i="1"/>
  <c r="AO17" i="1"/>
  <c r="AK17" i="1"/>
  <c r="BK17" i="1"/>
  <c r="O17" i="1"/>
  <c r="CO17" i="1"/>
  <c r="CK17" i="1"/>
  <c r="CR17" i="1"/>
  <c r="BG17" i="1"/>
  <c r="CG17" i="1"/>
  <c r="Y17" i="1"/>
  <c r="AY17" i="1"/>
  <c r="BY17" i="1"/>
  <c r="CY17" i="1"/>
  <c r="AH17" i="1"/>
  <c r="BB17" i="1"/>
  <c r="CN17" i="1"/>
  <c r="Q17" i="1"/>
  <c r="AQ17" i="1"/>
  <c r="BQ17" i="1"/>
  <c r="CQ17" i="1"/>
  <c r="BP17" i="1"/>
  <c r="AI17" i="1"/>
  <c r="BX17" i="1"/>
  <c r="AG17" i="1"/>
  <c r="CP17" i="1"/>
  <c r="BI17" i="1"/>
  <c r="CI17" i="1"/>
  <c r="CT17" i="1"/>
  <c r="AX17" i="1"/>
  <c r="BR17" i="1"/>
  <c r="CL17" i="1"/>
  <c r="AA17" i="1"/>
  <c r="BA17" i="1"/>
  <c r="CA17" i="1"/>
  <c r="DA17" i="1"/>
  <c r="AD17" i="1"/>
  <c r="P17" i="1"/>
  <c r="BS17" i="1"/>
  <c r="AR17" i="1"/>
  <c r="BL17" i="1"/>
  <c r="CF17" i="1"/>
  <c r="U17" i="1"/>
  <c r="AU17" i="1"/>
  <c r="BU17" i="1"/>
  <c r="CU17" i="1"/>
  <c r="X17" i="1"/>
  <c r="BJ17" i="1"/>
  <c r="CD17" i="1"/>
  <c r="CX17" i="1"/>
  <c r="AJ17" i="1"/>
  <c r="BN17" i="1"/>
  <c r="AC17" i="1"/>
  <c r="DC17" i="1"/>
  <c r="AP17" i="1"/>
  <c r="CB17" i="1"/>
  <c r="CV17" i="1"/>
  <c r="AE17" i="1"/>
  <c r="BE17" i="1"/>
  <c r="CE17" i="1"/>
  <c r="T17" i="1"/>
  <c r="AN17" i="1"/>
  <c r="BH17" i="1"/>
  <c r="CZ17" i="1"/>
  <c r="W17" i="1"/>
  <c r="AW17" i="1"/>
  <c r="BT17" i="1"/>
  <c r="AF17" i="1"/>
  <c r="BC17" i="1"/>
  <c r="AM17" i="1"/>
  <c r="CM17" i="1"/>
  <c r="CJ17" i="1"/>
  <c r="BV17" i="1"/>
  <c r="BM17" i="1"/>
  <c r="AS17" i="1"/>
  <c r="AZ17" i="1"/>
  <c r="S17" i="1"/>
  <c r="CC17" i="1"/>
  <c r="V17" i="1"/>
  <c r="BW17" i="1"/>
  <c r="CW17" i="1"/>
  <c r="AL17" i="1"/>
  <c r="M18" i="1"/>
  <c r="R18" i="1" l="1"/>
  <c r="BP18" i="1"/>
  <c r="CG18" i="1"/>
  <c r="CA18" i="1"/>
  <c r="CL18" i="1"/>
  <c r="AC18" i="1"/>
  <c r="Q18" i="1"/>
  <c r="CK18" i="1"/>
  <c r="AR18" i="1"/>
  <c r="AU18" i="1"/>
  <c r="CD18" i="1"/>
  <c r="Z18" i="1"/>
  <c r="BW18" i="1"/>
  <c r="DC18" i="1"/>
  <c r="DB18" i="1"/>
  <c r="DA18" i="1"/>
  <c r="CZ18" i="1"/>
  <c r="CQ18" i="1"/>
  <c r="AZ18" i="1"/>
  <c r="V18" i="1"/>
  <c r="AL18" i="1"/>
  <c r="BZ18" i="1"/>
  <c r="BC18" i="1"/>
  <c r="AH18" i="1"/>
  <c r="CT18" i="1"/>
  <c r="O18" i="1"/>
  <c r="CN18" i="1"/>
  <c r="BB18" i="1"/>
  <c r="AW18" i="1"/>
  <c r="BK18" i="1"/>
  <c r="BJ18" i="1"/>
  <c r="BQ18" i="1"/>
  <c r="CO18" i="1"/>
  <c r="BX18" i="1"/>
  <c r="CC18" i="1"/>
  <c r="BE18" i="1"/>
  <c r="CV18" i="1"/>
  <c r="X18" i="1"/>
  <c r="CE18" i="1"/>
  <c r="CX18" i="1"/>
  <c r="CF18" i="1"/>
  <c r="BM18" i="1"/>
  <c r="AT18" i="1"/>
  <c r="W18" i="1"/>
  <c r="BD18" i="1"/>
  <c r="AD18" i="1"/>
  <c r="CP18" i="1"/>
  <c r="AB18" i="1"/>
  <c r="CS18" i="1"/>
  <c r="AX18" i="1"/>
  <c r="S18" i="1"/>
  <c r="BF18" i="1"/>
  <c r="AM18" i="1"/>
  <c r="AK18" i="1"/>
  <c r="BT18" i="1"/>
  <c r="AE18" i="1"/>
  <c r="AF18" i="1"/>
  <c r="CH18" i="1"/>
  <c r="BN18" i="1"/>
  <c r="U18" i="1"/>
  <c r="CM18" i="1"/>
  <c r="BS18" i="1"/>
  <c r="BL18" i="1"/>
  <c r="CW18" i="1"/>
  <c r="CY18" i="1"/>
  <c r="AV18" i="1"/>
  <c r="Y18" i="1"/>
  <c r="BG18" i="1"/>
  <c r="AO18" i="1"/>
  <c r="CB18" i="1"/>
  <c r="BY18" i="1"/>
  <c r="AG18" i="1"/>
  <c r="T18" i="1"/>
  <c r="BU18" i="1"/>
  <c r="AY18" i="1"/>
  <c r="AP18" i="1"/>
  <c r="P18" i="1"/>
  <c r="AI18" i="1"/>
  <c r="CJ18" i="1"/>
  <c r="AJ18" i="1"/>
  <c r="BI18" i="1"/>
  <c r="AQ18" i="1"/>
  <c r="AA18" i="1"/>
  <c r="AN18" i="1"/>
  <c r="AS18" i="1"/>
  <c r="CI18" i="1"/>
  <c r="BA18" i="1"/>
  <c r="BR18" i="1"/>
  <c r="CR18" i="1"/>
  <c r="BH18" i="1"/>
  <c r="BV18" i="1"/>
  <c r="BO18" i="1"/>
  <c r="CU18" i="1"/>
  <c r="M19" i="1"/>
  <c r="DF18" i="1"/>
  <c r="DE18" i="1"/>
  <c r="CZ19" i="1" l="1"/>
  <c r="BD19" i="1"/>
  <c r="R19" i="1"/>
  <c r="DB19" i="1"/>
  <c r="AA19" i="1"/>
  <c r="BM19" i="1"/>
  <c r="AQ19" i="1"/>
  <c r="BK19" i="1"/>
  <c r="BX19" i="1"/>
  <c r="AH19" i="1"/>
  <c r="CF19" i="1"/>
  <c r="BY19" i="1"/>
  <c r="CA19" i="1"/>
  <c r="W19" i="1"/>
  <c r="CG19" i="1"/>
  <c r="CP19" i="1"/>
  <c r="AY19" i="1"/>
  <c r="CO19" i="1"/>
  <c r="BJ19" i="1"/>
  <c r="AB19" i="1"/>
  <c r="AV19" i="1"/>
  <c r="AE19" i="1"/>
  <c r="Q19" i="1"/>
  <c r="CU19" i="1"/>
  <c r="BN19" i="1"/>
  <c r="CD19" i="1"/>
  <c r="AG19" i="1"/>
  <c r="U19" i="1"/>
  <c r="CV19" i="1"/>
  <c r="CI19" i="1"/>
  <c r="BT19" i="1"/>
  <c r="BV19" i="1"/>
  <c r="AZ19" i="1"/>
  <c r="Z19" i="1"/>
  <c r="BA19" i="1"/>
  <c r="CX19" i="1"/>
  <c r="CR19" i="1"/>
  <c r="AO19" i="1"/>
  <c r="BS19" i="1"/>
  <c r="AD19" i="1"/>
  <c r="CM19" i="1"/>
  <c r="CY19" i="1"/>
  <c r="DC19" i="1"/>
  <c r="AF19" i="1"/>
  <c r="BZ19" i="1"/>
  <c r="BW19" i="1"/>
  <c r="AI19" i="1"/>
  <c r="AU19" i="1"/>
  <c r="AP19" i="1"/>
  <c r="CN19" i="1"/>
  <c r="CH19" i="1"/>
  <c r="BH19" i="1"/>
  <c r="CK19" i="1"/>
  <c r="T19" i="1"/>
  <c r="CT19" i="1"/>
  <c r="AS19" i="1"/>
  <c r="BP19" i="1"/>
  <c r="CL19" i="1"/>
  <c r="CB19" i="1"/>
  <c r="CS19" i="1"/>
  <c r="BB19" i="1"/>
  <c r="O19" i="1"/>
  <c r="BU19" i="1"/>
  <c r="AR19" i="1"/>
  <c r="BR19" i="1"/>
  <c r="CE19" i="1"/>
  <c r="BI19" i="1"/>
  <c r="V19" i="1"/>
  <c r="AL19" i="1"/>
  <c r="BL19" i="1"/>
  <c r="CQ19" i="1"/>
  <c r="Y19" i="1"/>
  <c r="BQ19" i="1"/>
  <c r="AW19" i="1"/>
  <c r="CW19" i="1"/>
  <c r="AK19" i="1"/>
  <c r="AT19" i="1"/>
  <c r="AC19" i="1"/>
  <c r="AN19" i="1"/>
  <c r="BF19" i="1"/>
  <c r="DA19" i="1"/>
  <c r="AX19" i="1"/>
  <c r="CC19" i="1"/>
  <c r="X19" i="1"/>
  <c r="BE19" i="1"/>
  <c r="AJ19" i="1"/>
  <c r="BO19" i="1"/>
  <c r="BC19" i="1"/>
  <c r="AM19" i="1"/>
  <c r="BG19" i="1"/>
  <c r="CJ19" i="1"/>
  <c r="S19" i="1"/>
  <c r="P19" i="1"/>
  <c r="DF19" i="1"/>
  <c r="DE19" i="1"/>
  <c r="M20" i="1"/>
  <c r="AQ20" i="1"/>
  <c r="CP20" i="1" l="1"/>
  <c r="CA20" i="1"/>
  <c r="DB20" i="1"/>
  <c r="BD20" i="1"/>
  <c r="CS20" i="1"/>
  <c r="CV20" i="1"/>
  <c r="BJ20" i="1"/>
  <c r="BG20" i="1"/>
  <c r="U20" i="1"/>
  <c r="P20" i="1"/>
  <c r="CO20" i="1"/>
  <c r="CU20" i="1"/>
  <c r="CZ20" i="1"/>
  <c r="BY20" i="1"/>
  <c r="CT20" i="1"/>
  <c r="BC20" i="1"/>
  <c r="BA20" i="1"/>
  <c r="BV20" i="1"/>
  <c r="CC20" i="1"/>
  <c r="AP20" i="1"/>
  <c r="AI20" i="1"/>
  <c r="CB20" i="1"/>
  <c r="Z20" i="1"/>
  <c r="AW20" i="1"/>
  <c r="R20" i="1"/>
  <c r="DC20" i="1"/>
  <c r="V20" i="1"/>
  <c r="AB20" i="1"/>
  <c r="W20" i="1"/>
  <c r="AD20" i="1"/>
  <c r="BX20" i="1"/>
  <c r="CE20" i="1"/>
  <c r="CW20" i="1"/>
  <c r="AE20" i="1"/>
  <c r="CL20" i="1"/>
  <c r="AU20" i="1"/>
  <c r="AZ20" i="1"/>
  <c r="BL20" i="1"/>
  <c r="AM20" i="1"/>
  <c r="AG20" i="1"/>
  <c r="AC20" i="1"/>
  <c r="AY20" i="1"/>
  <c r="CM20" i="1"/>
  <c r="M21" i="1"/>
  <c r="BU20" i="1"/>
  <c r="AV20" i="1"/>
  <c r="AH20" i="1"/>
  <c r="X20" i="1"/>
  <c r="CR20" i="1"/>
  <c r="CQ20" i="1"/>
  <c r="BT20" i="1"/>
  <c r="AS20" i="1"/>
  <c r="AR20" i="1"/>
  <c r="AO20" i="1"/>
  <c r="CN20" i="1"/>
  <c r="AN20" i="1"/>
  <c r="CJ20" i="1"/>
  <c r="BR20" i="1"/>
  <c r="AA20" i="1"/>
  <c r="O20" i="1"/>
  <c r="CD20" i="1"/>
  <c r="AX20" i="1"/>
  <c r="AL20" i="1"/>
  <c r="CX20" i="1"/>
  <c r="Y20" i="1"/>
  <c r="BE20" i="1"/>
  <c r="BB20" i="1"/>
  <c r="CH20" i="1"/>
  <c r="AK20" i="1"/>
  <c r="BN20" i="1"/>
  <c r="CY20" i="1"/>
  <c r="BS20" i="1"/>
  <c r="S20" i="1"/>
  <c r="T20" i="1"/>
  <c r="BP20" i="1"/>
  <c r="AT20" i="1"/>
  <c r="BW20" i="1"/>
  <c r="BM20" i="1"/>
  <c r="BQ20" i="1"/>
  <c r="DA20" i="1"/>
  <c r="CI20" i="1"/>
  <c r="CK20" i="1"/>
  <c r="Q20" i="1"/>
  <c r="BK20" i="1"/>
  <c r="DF20" i="1"/>
  <c r="DE20" i="1"/>
  <c r="CG20" i="1"/>
  <c r="BO20" i="1"/>
  <c r="AF20" i="1"/>
  <c r="BZ20" i="1"/>
  <c r="BI20" i="1"/>
  <c r="AJ20" i="1"/>
  <c r="BF20" i="1"/>
  <c r="CF20" i="1"/>
  <c r="BH20" i="1"/>
  <c r="BE21" i="1" l="1"/>
  <c r="AY21" i="1"/>
  <c r="DB21" i="1"/>
  <c r="Z21" i="1"/>
  <c r="CK21" i="1"/>
  <c r="AJ21" i="1"/>
  <c r="BY21" i="1"/>
  <c r="CR21" i="1"/>
  <c r="CQ21" i="1"/>
  <c r="AK21" i="1"/>
  <c r="V21" i="1"/>
  <c r="X21" i="1"/>
  <c r="CN21" i="1"/>
  <c r="AF21" i="1"/>
  <c r="AX21" i="1"/>
  <c r="BV21" i="1"/>
  <c r="AL21" i="1"/>
  <c r="AI21" i="1"/>
  <c r="BX21" i="1"/>
  <c r="Q21" i="1"/>
  <c r="AM21" i="1"/>
  <c r="CL21" i="1"/>
  <c r="AA21" i="1"/>
  <c r="BG21" i="1"/>
  <c r="BC21" i="1"/>
  <c r="BB21" i="1"/>
  <c r="BO21" i="1"/>
  <c r="AU21" i="1"/>
  <c r="CF21" i="1"/>
  <c r="AR21" i="1"/>
  <c r="Y21" i="1"/>
  <c r="W21" i="1"/>
  <c r="CT21" i="1"/>
  <c r="BL21" i="1"/>
  <c r="AB21" i="1"/>
  <c r="DA21" i="1"/>
  <c r="CP21" i="1"/>
  <c r="T21" i="1"/>
  <c r="CJ21" i="1"/>
  <c r="BD21" i="1"/>
  <c r="BR21" i="1"/>
  <c r="BI21" i="1"/>
  <c r="CD21" i="1"/>
  <c r="AT21" i="1"/>
  <c r="AZ21" i="1"/>
  <c r="S21" i="1"/>
  <c r="BF21" i="1"/>
  <c r="CH21" i="1"/>
  <c r="AD21" i="1"/>
  <c r="R21" i="1"/>
  <c r="BH21" i="1"/>
  <c r="BM21" i="1"/>
  <c r="CW21" i="1"/>
  <c r="CS21" i="1"/>
  <c r="BW21" i="1"/>
  <c r="BN21" i="1"/>
  <c r="CX21" i="1"/>
  <c r="BQ21" i="1"/>
  <c r="CI21" i="1"/>
  <c r="AO21" i="1"/>
  <c r="CV21" i="1"/>
  <c r="CC21" i="1"/>
  <c r="CY21" i="1"/>
  <c r="BJ21" i="1"/>
  <c r="O21" i="1"/>
  <c r="BU21" i="1"/>
  <c r="CB21" i="1"/>
  <c r="AV21" i="1"/>
  <c r="BA21" i="1"/>
  <c r="AP21" i="1"/>
  <c r="CZ21" i="1"/>
  <c r="BK21" i="1"/>
  <c r="AG21" i="1"/>
  <c r="P21" i="1"/>
  <c r="DE21" i="1"/>
  <c r="DF21" i="1"/>
  <c r="M22" i="1"/>
  <c r="CO21" i="1" l="1"/>
  <c r="AE21" i="1"/>
  <c r="U21" i="1"/>
  <c r="CE21" i="1"/>
  <c r="DC21" i="1"/>
  <c r="AQ21" i="1"/>
  <c r="CM21" i="1"/>
  <c r="CG21" i="1"/>
  <c r="BT21" i="1"/>
  <c r="AH21" i="1"/>
  <c r="AS21" i="1"/>
  <c r="CA21" i="1"/>
  <c r="BZ21" i="1"/>
  <c r="AC21" i="1"/>
  <c r="AN21" i="1"/>
  <c r="BS21" i="1"/>
  <c r="CU21" i="1"/>
  <c r="BP21" i="1"/>
  <c r="CY22" i="1"/>
  <c r="AW21" i="1"/>
  <c r="S22" i="1"/>
  <c r="BK22" i="1"/>
  <c r="AL22" i="1"/>
  <c r="AS22" i="1"/>
  <c r="CD22" i="1"/>
  <c r="BB22" i="1"/>
  <c r="CS22" i="1"/>
  <c r="BL22" i="1"/>
  <c r="CM22" i="1"/>
  <c r="CA22" i="1"/>
  <c r="AG22" i="1"/>
  <c r="AJ22" i="1"/>
  <c r="BA22" i="1"/>
  <c r="AX22" i="1"/>
  <c r="AH22" i="1"/>
  <c r="BV22" i="1"/>
  <c r="CO22" i="1"/>
  <c r="BR22" i="1"/>
  <c r="BQ22" i="1"/>
  <c r="Q22" i="1"/>
  <c r="AA22" i="1"/>
  <c r="BW22" i="1"/>
  <c r="X22" i="1"/>
  <c r="AB22" i="1"/>
  <c r="AN22" i="1"/>
  <c r="Y22" i="1"/>
  <c r="CN22" i="1"/>
  <c r="BJ22" i="1"/>
  <c r="DA22" i="1"/>
  <c r="CJ22" i="1"/>
  <c r="P22" i="1"/>
  <c r="CK22" i="1"/>
  <c r="CB22" i="1"/>
  <c r="CX22" i="1"/>
  <c r="AU22" i="1"/>
  <c r="BY22" i="1"/>
  <c r="BD22" i="1"/>
  <c r="BI22" i="1"/>
  <c r="CP22" i="1"/>
  <c r="AI22" i="1"/>
  <c r="AT22" i="1"/>
  <c r="BE22" i="1"/>
  <c r="CL22" i="1"/>
  <c r="AD22" i="1"/>
  <c r="BT22" i="1"/>
  <c r="AP22" i="1"/>
  <c r="AZ22" i="1"/>
  <c r="BS22" i="1"/>
  <c r="AY22" i="1"/>
  <c r="W22" i="1"/>
  <c r="CF22" i="1"/>
  <c r="AE22" i="1"/>
  <c r="DB22" i="1"/>
  <c r="AQ22" i="1"/>
  <c r="CT22" i="1"/>
  <c r="Z22" i="1"/>
  <c r="AR22" i="1"/>
  <c r="CW22" i="1"/>
  <c r="CC22" i="1"/>
  <c r="CV22" i="1"/>
  <c r="AW22" i="1"/>
  <c r="CI22" i="1"/>
  <c r="CE22" i="1"/>
  <c r="CG22" i="1"/>
  <c r="CQ22" i="1"/>
  <c r="AK22" i="1"/>
  <c r="BP22" i="1"/>
  <c r="BF22" i="1"/>
  <c r="CU22" i="1"/>
  <c r="BU22" i="1"/>
  <c r="BH22" i="1"/>
  <c r="CR22" i="1"/>
  <c r="AO22" i="1"/>
  <c r="BG22" i="1"/>
  <c r="BC22" i="1"/>
  <c r="BM22" i="1"/>
  <c r="AV22" i="1"/>
  <c r="BN22" i="1"/>
  <c r="AM22" i="1"/>
  <c r="BX22" i="1"/>
  <c r="DF22" i="1"/>
  <c r="G25" i="2" s="1"/>
  <c r="DE22" i="1"/>
  <c r="G26" i="2" s="1"/>
  <c r="R22" i="1"/>
  <c r="U22" i="1"/>
  <c r="CZ22" i="1"/>
  <c r="DC22" i="1"/>
  <c r="AC22" i="1"/>
  <c r="BO22" i="1"/>
  <c r="O22" i="1"/>
  <c r="BZ22" i="1"/>
  <c r="V22" i="1"/>
  <c r="AF22" i="1"/>
  <c r="T22" i="1"/>
  <c r="CH22" i="1"/>
  <c r="M23" i="1" l="1"/>
  <c r="AX23" i="1"/>
  <c r="BY23" i="1"/>
  <c r="M24" i="1"/>
  <c r="CG23" i="1" l="1"/>
  <c r="R24" i="1"/>
  <c r="R23" i="1"/>
  <c r="S23" i="1"/>
  <c r="Q23" i="1"/>
  <c r="CU23" i="1"/>
  <c r="BK23" i="1"/>
  <c r="W23" i="1"/>
  <c r="BS23" i="1"/>
  <c r="AU23" i="1"/>
  <c r="BC23" i="1"/>
  <c r="BL23" i="1"/>
  <c r="BA23" i="1"/>
  <c r="AQ23" i="1"/>
  <c r="AC23" i="1"/>
  <c r="CT23" i="1"/>
  <c r="BU23" i="1"/>
  <c r="BM23" i="1"/>
  <c r="AF23" i="1"/>
  <c r="BW23" i="1"/>
  <c r="CE23" i="1"/>
  <c r="AB23" i="1"/>
  <c r="BN23" i="1"/>
  <c r="BF23" i="1"/>
  <c r="DA23" i="1"/>
  <c r="BQ23" i="1"/>
  <c r="X23" i="1"/>
  <c r="CZ23" i="1"/>
  <c r="AV23" i="1"/>
  <c r="BD23" i="1"/>
  <c r="BP23" i="1"/>
  <c r="BO23" i="1"/>
  <c r="BX23" i="1"/>
  <c r="BH23" i="1"/>
  <c r="CQ23" i="1"/>
  <c r="AZ23" i="1"/>
  <c r="CH23" i="1"/>
  <c r="AO23" i="1"/>
  <c r="CO23" i="1"/>
  <c r="BE23" i="1"/>
  <c r="P23" i="1"/>
  <c r="AN23" i="1"/>
  <c r="BB23" i="1"/>
  <c r="CJ23" i="1"/>
  <c r="CA23" i="1"/>
  <c r="AT23" i="1"/>
  <c r="CI23" i="1"/>
  <c r="AY23" i="1"/>
  <c r="AP23" i="1"/>
  <c r="CK23" i="1"/>
  <c r="Y23" i="1"/>
  <c r="AE23" i="1"/>
  <c r="BI23" i="1"/>
  <c r="AK23" i="1"/>
  <c r="AI23" i="1"/>
  <c r="AW23" i="1"/>
  <c r="AR23" i="1"/>
  <c r="CB23" i="1"/>
  <c r="AG23" i="1"/>
  <c r="BT23" i="1"/>
  <c r="T23" i="1"/>
  <c r="AM23" i="1"/>
  <c r="CC23" i="1"/>
  <c r="AS23" i="1"/>
  <c r="AJ23" i="1"/>
  <c r="CF23" i="1"/>
  <c r="BJ23" i="1"/>
  <c r="CM23" i="1"/>
  <c r="CV23" i="1"/>
  <c r="DC23" i="1"/>
  <c r="AA23" i="1"/>
  <c r="AH23" i="1"/>
  <c r="U23" i="1"/>
  <c r="AL23" i="1"/>
  <c r="AD23" i="1"/>
  <c r="DB23" i="1"/>
  <c r="CD23" i="1"/>
  <c r="CL23" i="1"/>
  <c r="CS23" i="1"/>
  <c r="V23" i="1"/>
  <c r="CW23" i="1"/>
  <c r="BV23" i="1"/>
  <c r="O23" i="1"/>
  <c r="CX23" i="1"/>
  <c r="BR23" i="1"/>
  <c r="BG23" i="1"/>
  <c r="CY23" i="1"/>
  <c r="CN23" i="1"/>
  <c r="CR23" i="1"/>
  <c r="BZ23" i="1"/>
  <c r="CP23" i="1"/>
  <c r="Z23" i="1"/>
  <c r="BU24" i="1"/>
  <c r="BH24" i="1"/>
  <c r="BW24" i="1"/>
  <c r="BV24" i="1"/>
  <c r="BN24" i="1"/>
  <c r="O24" i="1"/>
  <c r="CN24" i="1"/>
  <c r="X24" i="1"/>
  <c r="BJ24" i="1"/>
  <c r="AW24" i="1"/>
  <c r="AP24" i="1"/>
  <c r="BS24" i="1"/>
  <c r="AZ24" i="1"/>
  <c r="CP24" i="1"/>
  <c r="T24" i="1"/>
  <c r="CI24" i="1"/>
  <c r="BI24" i="1"/>
  <c r="CE24" i="1"/>
  <c r="Q24" i="1"/>
  <c r="W24" i="1"/>
  <c r="CO24" i="1"/>
  <c r="BL24" i="1"/>
  <c r="AO24" i="1"/>
  <c r="BC24" i="1"/>
  <c r="BY24" i="1"/>
  <c r="CW24" i="1"/>
  <c r="BF24" i="1"/>
  <c r="CU24" i="1"/>
  <c r="AG24" i="1"/>
  <c r="DA24" i="1"/>
  <c r="S24" i="1"/>
  <c r="CX24" i="1"/>
  <c r="AT24" i="1"/>
  <c r="CJ24" i="1"/>
  <c r="AC24" i="1"/>
  <c r="AL24" i="1"/>
  <c r="BZ24" i="1"/>
  <c r="AH24" i="1"/>
  <c r="AF24" i="1"/>
  <c r="BD24" i="1"/>
  <c r="AU24" i="1"/>
  <c r="BO24" i="1"/>
  <c r="CQ24" i="1"/>
  <c r="P24" i="1"/>
  <c r="CA24" i="1"/>
  <c r="Y24" i="1"/>
  <c r="CM24" i="1"/>
  <c r="AY24" i="1"/>
  <c r="CC24" i="1"/>
  <c r="BB24" i="1"/>
  <c r="CS24" i="1"/>
  <c r="BQ24" i="1"/>
  <c r="CT24" i="1"/>
  <c r="BM24" i="1"/>
  <c r="AD24" i="1"/>
  <c r="CG24" i="1"/>
  <c r="BE24" i="1"/>
  <c r="AB24" i="1"/>
  <c r="AI24" i="1"/>
  <c r="CZ24" i="1"/>
  <c r="AE24" i="1"/>
  <c r="BR24" i="1"/>
  <c r="BT24" i="1"/>
  <c r="DB24" i="1"/>
  <c r="AX24" i="1"/>
  <c r="AJ24" i="1"/>
  <c r="BA24" i="1"/>
  <c r="CB24" i="1"/>
  <c r="AA24" i="1"/>
  <c r="CY24" i="1"/>
  <c r="CL24" i="1"/>
  <c r="CR24" i="1"/>
  <c r="BX24" i="1"/>
  <c r="BK24" i="1"/>
  <c r="BP24" i="1"/>
  <c r="DC24" i="1"/>
  <c r="U24" i="1"/>
  <c r="CH24" i="1"/>
  <c r="AK24" i="1"/>
  <c r="AM24" i="1"/>
  <c r="AN24" i="1"/>
  <c r="CV24" i="1"/>
  <c r="CD24" i="1"/>
  <c r="AS24" i="1"/>
  <c r="CK24" i="1"/>
  <c r="Z24" i="1"/>
  <c r="CF24" i="1"/>
  <c r="V24" i="1"/>
  <c r="AV24" i="1"/>
  <c r="AR24" i="1"/>
  <c r="AQ24" i="1"/>
  <c r="BG24" i="1"/>
  <c r="M25" i="1" l="1"/>
  <c r="AP25" i="1"/>
  <c r="O25" i="1"/>
  <c r="BK25" i="1"/>
  <c r="X25" i="1"/>
  <c r="AY25" i="1"/>
  <c r="BM25" i="1"/>
  <c r="CQ25" i="1"/>
  <c r="BU25" i="1"/>
  <c r="BC25" i="1"/>
  <c r="CA25" i="1"/>
  <c r="AN25" i="1"/>
  <c r="AF25" i="1"/>
  <c r="Y25" i="1"/>
  <c r="BR25" i="1"/>
  <c r="AG25" i="1"/>
  <c r="BI25" i="1"/>
  <c r="AQ25" i="1"/>
  <c r="U25" i="1"/>
  <c r="CF25" i="1"/>
  <c r="BD25" i="1"/>
  <c r="BB25" i="1"/>
  <c r="Q25" i="1"/>
  <c r="S25" i="1"/>
  <c r="CJ25" i="1"/>
  <c r="DA25" i="1"/>
  <c r="AO25" i="1"/>
  <c r="AH25" i="1"/>
  <c r="CG25" i="1"/>
  <c r="BY25" i="1"/>
  <c r="CB25" i="1"/>
  <c r="AA25" i="1"/>
  <c r="AS25" i="1"/>
  <c r="BX25" i="1"/>
  <c r="BQ25" i="1"/>
  <c r="Z25" i="1"/>
  <c r="BP25" i="1"/>
  <c r="CP25" i="1"/>
  <c r="P25" i="1"/>
  <c r="BV25" i="1"/>
  <c r="AU25" i="1"/>
  <c r="AK25" i="1"/>
  <c r="V25" i="1"/>
  <c r="AB25" i="1"/>
  <c r="AR25" i="1"/>
  <c r="BW25" i="1"/>
  <c r="AC25" i="1" l="1"/>
  <c r="AT25" i="1"/>
  <c r="W25" i="1"/>
  <c r="CM25" i="1"/>
  <c r="T25" i="1"/>
  <c r="BG25" i="1"/>
  <c r="R25" i="1"/>
  <c r="CZ25" i="1"/>
  <c r="BE25" i="1"/>
  <c r="CK25" i="1"/>
  <c r="AW25" i="1"/>
  <c r="CN25" i="1"/>
  <c r="CD25" i="1"/>
  <c r="AZ25" i="1"/>
  <c r="CS25" i="1"/>
  <c r="CI25" i="1"/>
  <c r="AX25" i="1"/>
  <c r="CV25" i="1"/>
  <c r="CT25" i="1"/>
  <c r="AL25" i="1"/>
  <c r="CW25" i="1"/>
  <c r="BL25" i="1"/>
  <c r="CC25" i="1"/>
  <c r="BZ25" i="1"/>
  <c r="BS25" i="1"/>
  <c r="CH25" i="1"/>
  <c r="BT25" i="1"/>
  <c r="DB25" i="1"/>
  <c r="AV25" i="1"/>
  <c r="CR25" i="1"/>
  <c r="BH25" i="1"/>
  <c r="BO25" i="1"/>
  <c r="CE25" i="1"/>
  <c r="CY25" i="1"/>
  <c r="CO25" i="1"/>
  <c r="DC25" i="1"/>
  <c r="CX25" i="1"/>
  <c r="AE25" i="1"/>
  <c r="CU25" i="1"/>
  <c r="AI25" i="1"/>
  <c r="BA25" i="1"/>
  <c r="CL25" i="1"/>
  <c r="BJ25" i="1"/>
  <c r="AM25" i="1"/>
  <c r="BF25" i="1"/>
  <c r="AJ25" i="1"/>
  <c r="AD25" i="1"/>
  <c r="BG26" i="1"/>
  <c r="AK26" i="1"/>
  <c r="AW26" i="1"/>
  <c r="M26" i="1"/>
  <c r="CJ26" i="1"/>
  <c r="CS26" i="1"/>
  <c r="AO26" i="1"/>
  <c r="CG26" i="1"/>
  <c r="CU26" i="1"/>
  <c r="U26" i="1"/>
  <c r="CF26" i="1"/>
  <c r="BQ26" i="1"/>
  <c r="AL26" i="1"/>
  <c r="CO26" i="1"/>
  <c r="DB26" i="1"/>
  <c r="BC26" i="1"/>
  <c r="DC26" i="1"/>
  <c r="X26" i="1"/>
  <c r="BF26" i="1"/>
  <c r="BP26" i="1"/>
  <c r="AV26" i="1"/>
  <c r="BI26" i="1"/>
  <c r="AP26" i="1"/>
  <c r="CA26" i="1"/>
  <c r="BT26" i="1"/>
  <c r="CX26" i="1"/>
  <c r="AZ26" i="1"/>
  <c r="BR26" i="1"/>
  <c r="CE26" i="1"/>
  <c r="AC26" i="1"/>
  <c r="BX26" i="1"/>
  <c r="CW26" i="1"/>
  <c r="BN25" i="1"/>
  <c r="V26" i="1"/>
  <c r="AT26" i="1"/>
  <c r="CQ26" i="1"/>
  <c r="CI26" i="1"/>
  <c r="AR26" i="1"/>
  <c r="AG26" i="1"/>
  <c r="CT26" i="1"/>
  <c r="AE26" i="1"/>
  <c r="CC26" i="1"/>
  <c r="DA26" i="1"/>
  <c r="BZ26" i="1"/>
  <c r="CV26" i="1"/>
  <c r="BO26" i="1"/>
  <c r="AF26" i="1"/>
  <c r="AS26" i="1"/>
  <c r="AM26" i="1"/>
  <c r="BD26" i="1"/>
  <c r="CB26" i="1"/>
  <c r="AY26" i="1"/>
  <c r="Q26" i="1"/>
  <c r="W26" i="1"/>
  <c r="Y26" i="1"/>
  <c r="AD26" i="1"/>
  <c r="R26" i="1"/>
  <c r="CH26" i="1"/>
  <c r="CY26" i="1"/>
  <c r="BK26" i="1"/>
  <c r="CP26" i="1"/>
  <c r="AA26" i="1"/>
  <c r="BM26" i="1"/>
  <c r="CR26" i="1"/>
  <c r="BH26" i="1"/>
  <c r="BJ26" i="1"/>
  <c r="T26" i="1"/>
  <c r="Z26" i="1"/>
  <c r="BA26" i="1"/>
  <c r="CL26" i="1"/>
  <c r="BW26" i="1"/>
  <c r="CZ26" i="1"/>
  <c r="BV26" i="1"/>
  <c r="BN26" i="1"/>
  <c r="BB26" i="1"/>
  <c r="AQ26" i="1"/>
  <c r="S26" i="1"/>
  <c r="AN26" i="1"/>
  <c r="CK26" i="1"/>
  <c r="CM26" i="1"/>
  <c r="CD26" i="1"/>
  <c r="P26" i="1"/>
  <c r="AH26" i="1"/>
  <c r="O26" i="1"/>
  <c r="AU26" i="1"/>
  <c r="BU26" i="1"/>
  <c r="AX26" i="1"/>
  <c r="AI26" i="1"/>
  <c r="AB26" i="1"/>
  <c r="BY26" i="1"/>
  <c r="CN26" i="1"/>
  <c r="BL26" i="1"/>
  <c r="AJ26" i="1"/>
  <c r="BE26" i="1"/>
  <c r="BS26" i="1"/>
  <c r="M27" i="1"/>
  <c r="P27" i="1" l="1"/>
  <c r="V27" i="1"/>
  <c r="AE27" i="1"/>
  <c r="BH27" i="1"/>
  <c r="BY27" i="1"/>
  <c r="AJ27" i="1"/>
  <c r="BP27" i="1"/>
  <c r="BG27" i="1"/>
  <c r="CZ27" i="1"/>
  <c r="BC27" i="1"/>
  <c r="AF27" i="1"/>
  <c r="CM27" i="1"/>
  <c r="AY27" i="1"/>
  <c r="BO27" i="1"/>
  <c r="AX27" i="1"/>
  <c r="CA27" i="1"/>
  <c r="CF27" i="1"/>
  <c r="BE27" i="1"/>
  <c r="AA27" i="1"/>
  <c r="AP27" i="1"/>
  <c r="BV27" i="1"/>
  <c r="AM27" i="1"/>
  <c r="CB27" i="1"/>
  <c r="CG27" i="1"/>
  <c r="BT27" i="1"/>
  <c r="S27" i="1"/>
  <c r="AV27" i="1"/>
  <c r="BB27" i="1"/>
  <c r="BR27" i="1"/>
  <c r="CJ27" i="1"/>
  <c r="Z27" i="1"/>
  <c r="CR27" i="1"/>
  <c r="CC27" i="1"/>
  <c r="Q27" i="1"/>
  <c r="AS27" i="1"/>
  <c r="CK27" i="1"/>
  <c r="X27" i="1"/>
  <c r="BD27" i="1"/>
  <c r="O27" i="1"/>
  <c r="W27" i="1"/>
  <c r="AD27" i="1"/>
  <c r="CW27" i="1"/>
  <c r="AW27" i="1"/>
  <c r="BA27" i="1"/>
  <c r="CL27" i="1"/>
  <c r="CS27" i="1"/>
  <c r="AL27" i="1"/>
  <c r="U27" i="1"/>
  <c r="DB27" i="1"/>
  <c r="Y27" i="1"/>
  <c r="CQ27" i="1"/>
  <c r="AH27" i="1"/>
  <c r="AB27" i="1"/>
  <c r="BX27" i="1"/>
  <c r="AK27" i="1"/>
  <c r="CP27" i="1"/>
  <c r="BF27" i="1"/>
  <c r="AR27" i="1"/>
  <c r="CV27" i="1"/>
  <c r="BN27" i="1"/>
  <c r="CU27" i="1"/>
  <c r="AO27" i="1"/>
  <c r="DC27" i="1"/>
  <c r="AC27" i="1"/>
  <c r="AQ27" i="1"/>
  <c r="CY27" i="1"/>
  <c r="BW27" i="1"/>
  <c r="AG27" i="1"/>
  <c r="BL27" i="1"/>
  <c r="CX27" i="1"/>
  <c r="AN27" i="1"/>
  <c r="BU27" i="1"/>
  <c r="BS27" i="1"/>
  <c r="CN27" i="1"/>
  <c r="AZ27" i="1"/>
  <c r="CI27" i="1"/>
  <c r="BI27" i="1"/>
  <c r="DA27" i="1"/>
  <c r="AU27" i="1"/>
  <c r="CH27" i="1"/>
  <c r="BZ27" i="1"/>
  <c r="CE27" i="1"/>
  <c r="BK27" i="1"/>
  <c r="AT27" i="1"/>
  <c r="BQ27" i="1"/>
  <c r="CO27" i="1"/>
  <c r="CT27" i="1"/>
  <c r="BJ27" i="1"/>
  <c r="CD27" i="1"/>
  <c r="AI27" i="1"/>
  <c r="BM27" i="1"/>
  <c r="T27" i="1"/>
  <c r="R27" i="1"/>
  <c r="M28" i="1" l="1"/>
  <c r="CQ28" i="1"/>
  <c r="CD28" i="1"/>
  <c r="R28" i="1"/>
  <c r="AF28" i="1"/>
  <c r="AL28" i="1"/>
  <c r="BE28" i="1"/>
  <c r="BS28" i="1"/>
  <c r="AS28" i="1"/>
  <c r="BO28" i="1"/>
  <c r="DC28" i="1"/>
  <c r="AQ28" i="1"/>
  <c r="BF28" i="1"/>
  <c r="CS28" i="1"/>
  <c r="AW28" i="1"/>
  <c r="AC28" i="1"/>
  <c r="AV28" i="1"/>
  <c r="BB28" i="1"/>
  <c r="CT28" i="1"/>
  <c r="CW28" i="1"/>
  <c r="CH28" i="1"/>
  <c r="BX28" i="1"/>
  <c r="BH28" i="1"/>
  <c r="CP28" i="1"/>
  <c r="BL28" i="1"/>
  <c r="CV28" i="1"/>
  <c r="BJ28" i="1"/>
  <c r="BG28" i="1"/>
  <c r="BD28" i="1"/>
  <c r="Q28" i="1"/>
  <c r="S28" i="1"/>
  <c r="AG28" i="1"/>
  <c r="AD28" i="1"/>
  <c r="BU28" i="1"/>
  <c r="AO28" i="1"/>
  <c r="CE28" i="1"/>
  <c r="P28" i="1"/>
  <c r="BN28" i="1"/>
  <c r="CG28" i="1"/>
  <c r="CA28" i="1"/>
  <c r="AI28" i="1"/>
  <c r="U28" i="1"/>
  <c r="BV28" i="1"/>
  <c r="AZ28" i="1"/>
  <c r="CY28" i="1"/>
  <c r="V28" i="1"/>
  <c r="CL28" i="1"/>
  <c r="AP28" i="1"/>
  <c r="AE28" i="1"/>
  <c r="CU28" i="1"/>
  <c r="AK28" i="1"/>
  <c r="AM28" i="1"/>
  <c r="BA28" i="1"/>
  <c r="BQ28" i="1"/>
  <c r="BI28" i="1"/>
  <c r="BW28" i="1"/>
  <c r="AR28" i="1"/>
  <c r="CI28" i="1"/>
  <c r="CR28" i="1"/>
  <c r="BZ28" i="1"/>
  <c r="BC28" i="1"/>
  <c r="BK28" i="1"/>
  <c r="AU28" i="1"/>
  <c r="CC28" i="1"/>
  <c r="Z28" i="1"/>
  <c r="DA28" i="1"/>
  <c r="AH28" i="1"/>
  <c r="CJ28" i="1"/>
  <c r="X28" i="1"/>
  <c r="CN28" i="1"/>
  <c r="W28" i="1"/>
  <c r="BR28" i="1"/>
  <c r="O28" i="1"/>
  <c r="BM28" i="1"/>
  <c r="DB28" i="1"/>
  <c r="T28" i="1"/>
  <c r="CM28" i="1"/>
  <c r="BT28" i="1"/>
  <c r="CX28" i="1"/>
  <c r="AN28" i="1"/>
  <c r="CZ28" i="1"/>
  <c r="Y28" i="1"/>
  <c r="CO28" i="1"/>
  <c r="CB28" i="1"/>
  <c r="AX28" i="1"/>
  <c r="AT28" i="1"/>
  <c r="AB28" i="1"/>
  <c r="BY28" i="1"/>
  <c r="CK28" i="1"/>
  <c r="AJ28" i="1"/>
  <c r="CF28" i="1"/>
  <c r="BP28" i="1"/>
  <c r="AY28" i="1"/>
  <c r="AA28" i="1"/>
  <c r="M29" i="1"/>
  <c r="AH29" i="1" l="1"/>
  <c r="CN29" i="1"/>
  <c r="BQ29" i="1"/>
  <c r="W29" i="1"/>
  <c r="AD29" i="1"/>
  <c r="CK29" i="1"/>
  <c r="AM29" i="1"/>
  <c r="BF29" i="1"/>
  <c r="T29" i="1"/>
  <c r="CO29" i="1"/>
  <c r="BG29" i="1"/>
  <c r="CL29" i="1"/>
  <c r="Y29" i="1"/>
  <c r="BL29" i="1"/>
  <c r="BD29" i="1"/>
  <c r="AL29" i="1"/>
  <c r="AE29" i="1"/>
  <c r="AT29" i="1"/>
  <c r="DA29" i="1"/>
  <c r="CG29" i="1"/>
  <c r="BX29" i="1"/>
  <c r="CU29" i="1"/>
  <c r="AQ29" i="1"/>
  <c r="BY29" i="1"/>
  <c r="AW29" i="1"/>
  <c r="BH29" i="1"/>
  <c r="AK29" i="1"/>
  <c r="AI29" i="1"/>
  <c r="AO29" i="1"/>
  <c r="U29" i="1"/>
  <c r="CJ29" i="1"/>
  <c r="CM29" i="1"/>
  <c r="BN29" i="1"/>
  <c r="CA29" i="1"/>
  <c r="BM29" i="1"/>
  <c r="CF29" i="1"/>
  <c r="CY29" i="1"/>
  <c r="AS29" i="1"/>
  <c r="CI29" i="1"/>
  <c r="AC29" i="1"/>
  <c r="CZ29" i="1"/>
  <c r="AN29" i="1"/>
  <c r="CQ29" i="1"/>
  <c r="BP29" i="1"/>
  <c r="CC29" i="1"/>
  <c r="AU29" i="1"/>
  <c r="BA29" i="1"/>
  <c r="BS29" i="1"/>
  <c r="CS29" i="1"/>
  <c r="CV29" i="1"/>
  <c r="AG29" i="1"/>
  <c r="BK29" i="1"/>
  <c r="CR29" i="1"/>
  <c r="CT29" i="1"/>
  <c r="AR29" i="1"/>
  <c r="BV29" i="1"/>
  <c r="BU29" i="1"/>
  <c r="AX29" i="1"/>
  <c r="AV29" i="1"/>
  <c r="BO29" i="1"/>
  <c r="CH29" i="1"/>
  <c r="AP29" i="1"/>
  <c r="BT29" i="1"/>
  <c r="X29" i="1"/>
  <c r="CB29" i="1"/>
  <c r="BI29" i="1"/>
  <c r="P29" i="1"/>
  <c r="CW29" i="1"/>
  <c r="BE29" i="1"/>
  <c r="BR29" i="1"/>
  <c r="CD29" i="1"/>
  <c r="CP29" i="1"/>
  <c r="AA29" i="1"/>
  <c r="AJ29" i="1"/>
  <c r="DC29" i="1"/>
  <c r="S29" i="1"/>
  <c r="AY29" i="1"/>
  <c r="AZ29" i="1"/>
  <c r="AB29" i="1"/>
  <c r="BJ29" i="1"/>
  <c r="CX29" i="1"/>
  <c r="DB29" i="1"/>
  <c r="Z29" i="1"/>
  <c r="AF29" i="1"/>
  <c r="BW29" i="1"/>
  <c r="Q29" i="1"/>
  <c r="O29" i="1"/>
  <c r="BZ29" i="1"/>
  <c r="R29" i="1"/>
  <c r="V29" i="1"/>
  <c r="BC29" i="1"/>
  <c r="CE29" i="1"/>
  <c r="BB29" i="1"/>
  <c r="M30" i="1" l="1"/>
  <c r="AW30" i="1" l="1"/>
  <c r="BX30" i="1"/>
  <c r="BM30" i="1"/>
  <c r="AU30" i="1"/>
  <c r="BP30" i="1"/>
  <c r="BG30" i="1"/>
  <c r="BH30" i="1"/>
  <c r="BY30" i="1"/>
  <c r="P30" i="1"/>
  <c r="CI30" i="1"/>
  <c r="BL30" i="1"/>
  <c r="CR30" i="1"/>
  <c r="AH30" i="1"/>
  <c r="X30" i="1"/>
  <c r="CT30" i="1"/>
  <c r="AK30" i="1"/>
  <c r="CB30" i="1"/>
  <c r="Z30" i="1"/>
  <c r="BA30" i="1"/>
  <c r="CS30" i="1"/>
  <c r="Q30" i="1"/>
  <c r="BS30" i="1"/>
  <c r="O30" i="1"/>
  <c r="BD30" i="1"/>
  <c r="CF30" i="1"/>
  <c r="BE30" i="1"/>
  <c r="AE30" i="1"/>
  <c r="AM30" i="1"/>
  <c r="BK30" i="1"/>
  <c r="AC30" i="1"/>
  <c r="CE30" i="1"/>
  <c r="R30" i="1"/>
  <c r="AG30" i="1"/>
  <c r="T30" i="1"/>
  <c r="Y30" i="1"/>
  <c r="AZ30" i="1"/>
  <c r="CJ30" i="1"/>
  <c r="CV30" i="1"/>
  <c r="DC30" i="1"/>
  <c r="AS30" i="1"/>
  <c r="BU30" i="1"/>
  <c r="CX30" i="1"/>
  <c r="AR30" i="1"/>
  <c r="BV30" i="1"/>
  <c r="BR30" i="1"/>
  <c r="CM30" i="1"/>
  <c r="CP30" i="1"/>
  <c r="CW30" i="1"/>
  <c r="AO30" i="1"/>
  <c r="BT30" i="1"/>
  <c r="CG30" i="1"/>
  <c r="BZ30" i="1"/>
  <c r="AX30" i="1"/>
  <c r="CD30" i="1"/>
  <c r="AP30" i="1"/>
  <c r="CQ30" i="1"/>
  <c r="CZ30" i="1"/>
  <c r="W30" i="1"/>
  <c r="AJ30" i="1"/>
  <c r="DA30" i="1"/>
  <c r="BF30" i="1"/>
  <c r="AN30" i="1"/>
  <c r="CC30" i="1"/>
  <c r="CK30" i="1"/>
  <c r="CH30" i="1"/>
  <c r="AY30" i="1"/>
  <c r="AT30" i="1"/>
  <c r="BO30" i="1"/>
  <c r="CA30" i="1"/>
  <c r="CN30" i="1"/>
  <c r="BQ30" i="1"/>
  <c r="BW30" i="1"/>
  <c r="AV30" i="1"/>
  <c r="AB30" i="1"/>
  <c r="CO30" i="1"/>
  <c r="AQ30" i="1"/>
  <c r="CL30" i="1"/>
  <c r="BC30" i="1"/>
  <c r="AL30" i="1"/>
  <c r="BN30" i="1"/>
  <c r="BB30" i="1"/>
  <c r="S30" i="1"/>
  <c r="BJ30" i="1"/>
  <c r="DB30" i="1"/>
  <c r="BI30" i="1"/>
  <c r="CU30" i="1"/>
  <c r="CY30" i="1"/>
  <c r="AI30" i="1"/>
  <c r="V30" i="1"/>
  <c r="U30" i="1"/>
  <c r="AA30" i="1"/>
  <c r="AD30" i="1"/>
  <c r="AF30" i="1"/>
  <c r="M31" i="1" l="1"/>
  <c r="CR31" i="1" l="1"/>
  <c r="AA31" i="1"/>
  <c r="BP31" i="1"/>
  <c r="W31" i="1"/>
  <c r="CL31" i="1"/>
  <c r="CW31" i="1"/>
  <c r="AG31" i="1"/>
  <c r="CJ31" i="1"/>
  <c r="AQ31" i="1"/>
  <c r="BJ31" i="1"/>
  <c r="AW31" i="1"/>
  <c r="AI31" i="1"/>
  <c r="CK31" i="1"/>
  <c r="CC31" i="1"/>
  <c r="BC31" i="1"/>
  <c r="AH31" i="1"/>
  <c r="X31" i="1"/>
  <c r="U31" i="1"/>
  <c r="BE31" i="1"/>
  <c r="BR31" i="1"/>
  <c r="DA31" i="1"/>
  <c r="BU31" i="1"/>
  <c r="AU31" i="1"/>
  <c r="AN31" i="1"/>
  <c r="BH31" i="1"/>
  <c r="CM31" i="1"/>
  <c r="CA31" i="1"/>
  <c r="AP31" i="1"/>
  <c r="CQ31" i="1"/>
  <c r="BI31" i="1"/>
  <c r="AR31" i="1"/>
  <c r="BS31" i="1"/>
  <c r="AC31" i="1"/>
  <c r="AM31" i="1"/>
  <c r="BD31" i="1"/>
  <c r="BX31" i="1"/>
  <c r="CE31" i="1"/>
  <c r="BK31" i="1"/>
  <c r="AB31" i="1"/>
  <c r="AL31" i="1"/>
  <c r="T31" i="1"/>
  <c r="AJ31" i="1"/>
  <c r="AK31" i="1"/>
  <c r="CD31" i="1"/>
  <c r="CT31" i="1"/>
  <c r="CH31" i="1"/>
  <c r="AZ31" i="1"/>
  <c r="BG31" i="1"/>
  <c r="AY31" i="1"/>
  <c r="BT31" i="1"/>
  <c r="BZ31" i="1"/>
  <c r="BB31" i="1"/>
  <c r="BQ31" i="1"/>
  <c r="CP31" i="1"/>
  <c r="DC31" i="1"/>
  <c r="AS31" i="1"/>
  <c r="CV31" i="1"/>
  <c r="BO31" i="1"/>
  <c r="AE31" i="1"/>
  <c r="Q31" i="1"/>
  <c r="BY31" i="1"/>
  <c r="CY31" i="1"/>
  <c r="BF31" i="1"/>
  <c r="CU31" i="1"/>
  <c r="AV31" i="1"/>
  <c r="CF31" i="1"/>
  <c r="CB31" i="1"/>
  <c r="BW31" i="1"/>
  <c r="BL31" i="1"/>
  <c r="DB31" i="1"/>
  <c r="P31" i="1"/>
  <c r="AX31" i="1"/>
  <c r="CZ31" i="1"/>
  <c r="BV31" i="1"/>
  <c r="CG31" i="1"/>
  <c r="Y31" i="1"/>
  <c r="BN31" i="1"/>
  <c r="AT31" i="1"/>
  <c r="CX31" i="1"/>
  <c r="CN31" i="1"/>
  <c r="BA31" i="1"/>
  <c r="BM31" i="1"/>
  <c r="CO31" i="1"/>
  <c r="S31" i="1"/>
  <c r="AD31" i="1"/>
  <c r="R31" i="1"/>
  <c r="O31" i="1"/>
  <c r="CS31" i="1"/>
  <c r="AO31" i="1"/>
  <c r="Z31" i="1"/>
  <c r="AF31" i="1"/>
  <c r="V31" i="1"/>
  <c r="CI31" i="1"/>
  <c r="M32" i="1" l="1"/>
  <c r="T32" i="1"/>
  <c r="CI32" i="1" l="1"/>
  <c r="CR32" i="1"/>
  <c r="CQ32" i="1"/>
  <c r="DC32" i="1"/>
  <c r="AH32" i="1"/>
  <c r="CE32" i="1"/>
  <c r="AU32" i="1"/>
  <c r="V32" i="1"/>
  <c r="CO32" i="1"/>
  <c r="BW32" i="1"/>
  <c r="BH32" i="1"/>
  <c r="W32" i="1"/>
  <c r="AG32" i="1"/>
  <c r="CH32" i="1"/>
  <c r="AB32" i="1"/>
  <c r="AO32" i="1"/>
  <c r="AI32" i="1"/>
  <c r="R32" i="1"/>
  <c r="AX32" i="1"/>
  <c r="BT32" i="1"/>
  <c r="P32" i="1"/>
  <c r="CX32" i="1"/>
  <c r="S32" i="1"/>
  <c r="BI32" i="1"/>
  <c r="BO32" i="1"/>
  <c r="CL32" i="1"/>
  <c r="CK32" i="1"/>
  <c r="CG32" i="1"/>
  <c r="BD32" i="1"/>
  <c r="CY32" i="1"/>
  <c r="CT32" i="1"/>
  <c r="BL32" i="1"/>
  <c r="CA32" i="1"/>
  <c r="CC32" i="1"/>
  <c r="CM32" i="1"/>
  <c r="AJ32" i="1"/>
  <c r="BY32" i="1"/>
  <c r="U32" i="1"/>
  <c r="BK32" i="1"/>
  <c r="X32" i="1"/>
  <c r="DB32" i="1"/>
  <c r="BV32" i="1"/>
  <c r="BF32" i="1"/>
  <c r="CD32" i="1"/>
  <c r="CW32" i="1"/>
  <c r="AD32" i="1"/>
  <c r="BP32" i="1"/>
  <c r="AA32" i="1"/>
  <c r="AE32" i="1"/>
  <c r="BZ32" i="1"/>
  <c r="BB32" i="1"/>
  <c r="BU32" i="1"/>
  <c r="AN32" i="1"/>
  <c r="AF32" i="1"/>
  <c r="AR32" i="1"/>
  <c r="BM32" i="1"/>
  <c r="BC32" i="1"/>
  <c r="CN32" i="1"/>
  <c r="CZ32" i="1"/>
  <c r="BN32" i="1"/>
  <c r="Q32" i="1"/>
  <c r="CP32" i="1"/>
  <c r="Z32" i="1"/>
  <c r="CB32" i="1"/>
  <c r="AL32" i="1"/>
  <c r="CV32" i="1"/>
  <c r="AZ32" i="1"/>
  <c r="AY32" i="1"/>
  <c r="CJ32" i="1"/>
  <c r="AC32" i="1"/>
  <c r="O32" i="1"/>
  <c r="BA32" i="1"/>
  <c r="AT32" i="1"/>
  <c r="CS32" i="1"/>
  <c r="BQ32" i="1"/>
  <c r="AW32" i="1"/>
  <c r="DA32" i="1"/>
  <c r="CF32" i="1"/>
  <c r="BJ32" i="1"/>
  <c r="BR32" i="1"/>
  <c r="BE32" i="1"/>
  <c r="BS32" i="1"/>
  <c r="AS32" i="1"/>
  <c r="BX32" i="1"/>
  <c r="AQ32" i="1"/>
  <c r="Y32" i="1"/>
  <c r="AM32" i="1"/>
  <c r="BG32" i="1"/>
  <c r="AP32" i="1"/>
  <c r="AK32" i="1"/>
  <c r="AV32" i="1"/>
  <c r="CU32" i="1"/>
  <c r="M33" i="1" l="1"/>
  <c r="BE33" i="1" l="1"/>
  <c r="BK33" i="1"/>
  <c r="BX33" i="1"/>
  <c r="T33" i="1"/>
  <c r="DB33" i="1"/>
  <c r="S33" i="1"/>
  <c r="AT33" i="1"/>
  <c r="BZ33" i="1"/>
  <c r="CB33" i="1"/>
  <c r="AB33" i="1"/>
  <c r="AP33" i="1"/>
  <c r="CT33" i="1"/>
  <c r="CU33" i="1"/>
  <c r="CY33" i="1"/>
  <c r="X33" i="1"/>
  <c r="CZ33" i="1"/>
  <c r="AZ33" i="1"/>
  <c r="BY33" i="1"/>
  <c r="CQ33" i="1"/>
  <c r="CF33" i="1"/>
  <c r="AD33" i="1"/>
  <c r="AW33" i="1"/>
  <c r="AR33" i="1"/>
  <c r="BJ33" i="1"/>
  <c r="CR33" i="1"/>
  <c r="Q33" i="1"/>
  <c r="AC33" i="1"/>
  <c r="CE33" i="1"/>
  <c r="AH33" i="1"/>
  <c r="CD33" i="1"/>
  <c r="BS33" i="1"/>
  <c r="AS33" i="1"/>
  <c r="BI33" i="1"/>
  <c r="Z33" i="1"/>
  <c r="CJ33" i="1"/>
  <c r="AN33" i="1"/>
  <c r="AY33" i="1"/>
  <c r="BM33" i="1"/>
  <c r="AK33" i="1"/>
  <c r="BF33" i="1"/>
  <c r="P33" i="1"/>
  <c r="CN33" i="1"/>
  <c r="CC33" i="1"/>
  <c r="CP33" i="1"/>
  <c r="AF33" i="1"/>
  <c r="AQ33" i="1"/>
  <c r="CV33" i="1"/>
  <c r="BA33" i="1"/>
  <c r="BV33" i="1"/>
  <c r="BD33" i="1"/>
  <c r="AM33" i="1"/>
  <c r="CS33" i="1"/>
  <c r="BU33" i="1"/>
  <c r="U33" i="1"/>
  <c r="BC33" i="1"/>
  <c r="BL33" i="1"/>
  <c r="BB33" i="1"/>
  <c r="AG33" i="1"/>
  <c r="CM33" i="1"/>
  <c r="CK33" i="1"/>
  <c r="BP33" i="1"/>
  <c r="BQ33" i="1"/>
  <c r="CW33" i="1"/>
  <c r="W33" i="1"/>
  <c r="CX33" i="1"/>
  <c r="BG33" i="1"/>
  <c r="DA33" i="1"/>
  <c r="AI33" i="1"/>
  <c r="DC33" i="1"/>
  <c r="BN33" i="1"/>
  <c r="CI33" i="1"/>
  <c r="BO33" i="1"/>
  <c r="BT33" i="1"/>
  <c r="BW33" i="1"/>
  <c r="AO33" i="1"/>
  <c r="BH33" i="1"/>
  <c r="Y33" i="1"/>
  <c r="AL33" i="1"/>
  <c r="CG33" i="1"/>
  <c r="AU33" i="1"/>
  <c r="AE33" i="1"/>
  <c r="AV33" i="1"/>
  <c r="AJ33" i="1"/>
  <c r="CH33" i="1"/>
  <c r="AX33" i="1"/>
  <c r="O33" i="1"/>
  <c r="V33" i="1"/>
  <c r="AA33" i="1"/>
  <c r="CO33" i="1"/>
  <c r="CA33" i="1"/>
  <c r="CL33" i="1"/>
  <c r="BR33" i="1"/>
  <c r="R33" i="1"/>
  <c r="M34" i="1" l="1"/>
  <c r="DC34" i="1" l="1"/>
  <c r="AV34" i="1"/>
  <c r="BA34" i="1"/>
  <c r="AW34" i="1"/>
  <c r="BG34" i="1"/>
  <c r="AH34" i="1"/>
  <c r="BK34" i="1"/>
  <c r="CC34" i="1"/>
  <c r="BL34" i="1"/>
  <c r="Z34" i="1"/>
  <c r="U34" i="1"/>
  <c r="CS34" i="1"/>
  <c r="CZ34" i="1"/>
  <c r="BJ34" i="1"/>
  <c r="P34" i="1"/>
  <c r="BU34" i="1"/>
  <c r="AM34" i="1"/>
  <c r="BF34" i="1"/>
  <c r="CH34" i="1"/>
  <c r="AS34" i="1"/>
  <c r="AO34" i="1"/>
  <c r="CN34" i="1"/>
  <c r="BN34" i="1"/>
  <c r="AZ34" i="1"/>
  <c r="CP34" i="1"/>
  <c r="CG34" i="1"/>
  <c r="AF34" i="1"/>
  <c r="AX34" i="1"/>
  <c r="CJ34" i="1"/>
  <c r="CX34" i="1"/>
  <c r="AQ34" i="1"/>
  <c r="BQ34" i="1"/>
  <c r="DA34" i="1"/>
  <c r="AK34" i="1"/>
  <c r="BV34" i="1"/>
  <c r="BW34" i="1"/>
  <c r="CQ34" i="1"/>
  <c r="BI34" i="1"/>
  <c r="BH34" i="1"/>
  <c r="CT34" i="1"/>
  <c r="Y34" i="1"/>
  <c r="Q34" i="1"/>
  <c r="BB34" i="1"/>
  <c r="CE34" i="1"/>
  <c r="CD34" i="1"/>
  <c r="AB34" i="1"/>
  <c r="S34" i="1"/>
  <c r="CF34" i="1"/>
  <c r="BZ34" i="1"/>
  <c r="BX34" i="1"/>
  <c r="AG34" i="1"/>
  <c r="CO34" i="1"/>
  <c r="CW34" i="1"/>
  <c r="AD34" i="1"/>
  <c r="CR34" i="1"/>
  <c r="AL34" i="1"/>
  <c r="CI34" i="1"/>
  <c r="CL34" i="1"/>
  <c r="CV34" i="1"/>
  <c r="AJ34" i="1"/>
  <c r="AR34" i="1"/>
  <c r="CU34" i="1"/>
  <c r="BP34" i="1"/>
  <c r="AU34" i="1"/>
  <c r="CM34" i="1"/>
  <c r="AI34" i="1"/>
  <c r="CA34" i="1"/>
  <c r="R34" i="1"/>
  <c r="AC34" i="1"/>
  <c r="O34" i="1"/>
  <c r="T34" i="1"/>
  <c r="CY34" i="1"/>
  <c r="BC34" i="1"/>
  <c r="X34" i="1"/>
  <c r="AY34" i="1"/>
  <c r="BT34" i="1"/>
  <c r="BD34" i="1"/>
  <c r="AN34" i="1"/>
  <c r="BR34" i="1"/>
  <c r="DB34" i="1"/>
  <c r="W34" i="1"/>
  <c r="BY34" i="1"/>
  <c r="BE34" i="1"/>
  <c r="AA34" i="1"/>
  <c r="CB34" i="1"/>
  <c r="CK34" i="1"/>
  <c r="BS34" i="1"/>
  <c r="AP34" i="1"/>
  <c r="V34" i="1"/>
  <c r="AE34" i="1"/>
  <c r="AT34" i="1"/>
  <c r="BM34" i="1"/>
  <c r="BO34" i="1"/>
  <c r="M35" i="1" l="1"/>
  <c r="BM35" i="1" l="1"/>
  <c r="AP35" i="1"/>
  <c r="CE35" i="1"/>
  <c r="BU35" i="1"/>
  <c r="BD35" i="1"/>
  <c r="AN35" i="1"/>
  <c r="BL35" i="1"/>
  <c r="BQ35" i="1"/>
  <c r="BR35" i="1"/>
  <c r="AJ35" i="1"/>
  <c r="W35" i="1"/>
  <c r="AA35" i="1"/>
  <c r="CG35" i="1"/>
  <c r="CQ35" i="1"/>
  <c r="BA35" i="1"/>
  <c r="T35" i="1"/>
  <c r="BY35" i="1"/>
  <c r="AL35" i="1"/>
  <c r="AO35" i="1"/>
  <c r="AU35" i="1"/>
  <c r="P35" i="1"/>
  <c r="DA35" i="1"/>
  <c r="CU35" i="1"/>
  <c r="CI35" i="1"/>
  <c r="S35" i="1"/>
  <c r="O35" i="1"/>
  <c r="CL35" i="1"/>
  <c r="DC35" i="1"/>
  <c r="Y35" i="1"/>
  <c r="AD35" i="1"/>
  <c r="CZ35" i="1"/>
  <c r="V35" i="1"/>
  <c r="CC35" i="1"/>
  <c r="CD35" i="1"/>
  <c r="BW35" i="1"/>
  <c r="BO35" i="1"/>
  <c r="CJ35" i="1"/>
  <c r="BT35" i="1"/>
  <c r="BN35" i="1"/>
  <c r="BV35" i="1"/>
  <c r="CF35" i="1"/>
  <c r="AQ35" i="1"/>
  <c r="BE35" i="1"/>
  <c r="BK35" i="1"/>
  <c r="AI35" i="1"/>
  <c r="CV35" i="1"/>
  <c r="AK35" i="1"/>
  <c r="BX35" i="1"/>
  <c r="X35" i="1"/>
  <c r="CM35" i="1"/>
  <c r="CR35" i="1"/>
  <c r="BI35" i="1"/>
  <c r="AV35" i="1"/>
  <c r="BZ35" i="1"/>
  <c r="BH35" i="1"/>
  <c r="R35" i="1"/>
  <c r="CB35" i="1"/>
  <c r="CW35" i="1"/>
  <c r="CA35" i="1"/>
  <c r="CS35" i="1"/>
  <c r="BG35" i="1"/>
  <c r="AT35" i="1"/>
  <c r="AB35" i="1"/>
  <c r="DB35" i="1"/>
  <c r="CY35" i="1"/>
  <c r="BJ35" i="1"/>
  <c r="CT35" i="1"/>
  <c r="AG35" i="1"/>
  <c r="BS35" i="1"/>
  <c r="CH35" i="1"/>
  <c r="BB35" i="1"/>
  <c r="U35" i="1"/>
  <c r="AX35" i="1"/>
  <c r="CO35" i="1"/>
  <c r="AS35" i="1"/>
  <c r="BF35" i="1"/>
  <c r="Z35" i="1"/>
  <c r="AZ35" i="1"/>
  <c r="CP35" i="1"/>
  <c r="AM35" i="1"/>
  <c r="BP35" i="1"/>
  <c r="BC35" i="1"/>
  <c r="AH35" i="1"/>
  <c r="AW35" i="1"/>
  <c r="CN35" i="1"/>
  <c r="AE35" i="1"/>
  <c r="AC35" i="1"/>
  <c r="Q35" i="1"/>
  <c r="AY35" i="1"/>
  <c r="CK35" i="1"/>
  <c r="AR35" i="1"/>
  <c r="CX35" i="1"/>
  <c r="AF35" i="1"/>
  <c r="BC36" i="1"/>
  <c r="M36" i="1"/>
  <c r="BE36" i="1" l="1"/>
  <c r="AN36" i="1"/>
  <c r="BZ36" i="1"/>
  <c r="AU36" i="1"/>
  <c r="BH36" i="1"/>
  <c r="CH36" i="1"/>
  <c r="BI36" i="1"/>
  <c r="AS36" i="1"/>
  <c r="BT36" i="1"/>
  <c r="BS36" i="1"/>
  <c r="BN36" i="1"/>
  <c r="DA36" i="1"/>
  <c r="AX36" i="1"/>
  <c r="BY36" i="1"/>
  <c r="AL36" i="1"/>
  <c r="Q36" i="1"/>
  <c r="AQ36" i="1"/>
  <c r="X36" i="1"/>
  <c r="CY36" i="1"/>
  <c r="AK36" i="1"/>
  <c r="AB36" i="1"/>
  <c r="BG36" i="1"/>
  <c r="AH36" i="1"/>
  <c r="BO36" i="1"/>
  <c r="CA36" i="1"/>
  <c r="BV36" i="1"/>
  <c r="BX36" i="1"/>
  <c r="AA36" i="1"/>
  <c r="CS36" i="1"/>
  <c r="AT36" i="1"/>
  <c r="AC36" i="1"/>
  <c r="BQ36" i="1"/>
  <c r="V36" i="1"/>
  <c r="BW36" i="1"/>
  <c r="AV36" i="1"/>
  <c r="CB36" i="1"/>
  <c r="AY36" i="1"/>
  <c r="AR36" i="1"/>
  <c r="BF36" i="1"/>
  <c r="BB36" i="1"/>
  <c r="AF36" i="1"/>
  <c r="CL36" i="1"/>
  <c r="CM36" i="1"/>
  <c r="CQ36" i="1"/>
  <c r="CG36" i="1"/>
  <c r="AO36" i="1"/>
  <c r="BR36" i="1"/>
  <c r="CT36" i="1"/>
  <c r="AG36" i="1"/>
  <c r="CO36" i="1"/>
  <c r="CZ36" i="1"/>
  <c r="AM36" i="1"/>
  <c r="CX36" i="1"/>
  <c r="CC36" i="1"/>
  <c r="CN36" i="1"/>
  <c r="CF36" i="1"/>
  <c r="DC36" i="1"/>
  <c r="AI36" i="1"/>
  <c r="BD36" i="1"/>
  <c r="AW36" i="1"/>
  <c r="CV36" i="1"/>
  <c r="BP36" i="1"/>
  <c r="AD36" i="1"/>
  <c r="DB36" i="1"/>
  <c r="AJ36" i="1"/>
  <c r="BU36" i="1"/>
  <c r="BM36" i="1"/>
  <c r="Z36" i="1"/>
  <c r="CE36" i="1"/>
  <c r="CP36" i="1"/>
  <c r="O36" i="1"/>
  <c r="AE36" i="1"/>
  <c r="CR36" i="1"/>
  <c r="CD36" i="1"/>
  <c r="BA36" i="1"/>
  <c r="BL36" i="1"/>
  <c r="BK36" i="1"/>
  <c r="W36" i="1"/>
  <c r="CK36" i="1"/>
  <c r="CI36" i="1"/>
  <c r="S36" i="1"/>
  <c r="AP36" i="1"/>
  <c r="BJ36" i="1"/>
  <c r="R36" i="1"/>
  <c r="T36" i="1"/>
  <c r="CJ36" i="1"/>
  <c r="AZ36" i="1"/>
  <c r="Y36" i="1"/>
  <c r="P36" i="1"/>
  <c r="CU36" i="1"/>
  <c r="CW36" i="1"/>
  <c r="U36" i="1"/>
  <c r="M37" i="1" l="1"/>
  <c r="AD37" i="1" l="1"/>
  <c r="BE37" i="1"/>
  <c r="AJ37" i="1"/>
  <c r="BB37" i="1"/>
  <c r="CD37" i="1"/>
  <c r="CN37" i="1"/>
  <c r="BQ37" i="1"/>
  <c r="BW37" i="1"/>
  <c r="AX37" i="1"/>
  <c r="CE37" i="1"/>
  <c r="BH37" i="1"/>
  <c r="DA37" i="1"/>
  <c r="X37" i="1"/>
  <c r="CY37" i="1"/>
  <c r="AU37" i="1"/>
  <c r="AG37" i="1"/>
  <c r="CB37" i="1"/>
  <c r="BS37" i="1"/>
  <c r="AM37" i="1"/>
  <c r="CM37" i="1"/>
  <c r="Z37" i="1"/>
  <c r="CX37" i="1"/>
  <c r="BR37" i="1"/>
  <c r="CZ37" i="1"/>
  <c r="CO37" i="1"/>
  <c r="R37" i="1"/>
  <c r="AZ37" i="1"/>
  <c r="S37" i="1"/>
  <c r="BN37" i="1"/>
  <c r="CL37" i="1"/>
  <c r="BZ37" i="1"/>
  <c r="CH37" i="1"/>
  <c r="BX37" i="1"/>
  <c r="CT37" i="1"/>
  <c r="AI37" i="1"/>
  <c r="AR37" i="1"/>
  <c r="BU37" i="1"/>
  <c r="BI37" i="1"/>
  <c r="BG37" i="1"/>
  <c r="AV37" i="1"/>
  <c r="AH37" i="1"/>
  <c r="AT37" i="1"/>
  <c r="O37" i="1"/>
  <c r="AQ37" i="1"/>
  <c r="CP37" i="1"/>
  <c r="V37" i="1"/>
  <c r="AL37" i="1"/>
  <c r="AW37" i="1"/>
  <c r="BJ37" i="1"/>
  <c r="T37" i="1"/>
  <c r="CG37" i="1"/>
  <c r="CV37" i="1"/>
  <c r="AN37" i="1"/>
  <c r="AP37" i="1"/>
  <c r="AA37" i="1"/>
  <c r="DB37" i="1"/>
  <c r="AC37" i="1"/>
  <c r="CK37" i="1"/>
  <c r="CF37" i="1"/>
  <c r="BA37" i="1"/>
  <c r="CA37" i="1"/>
  <c r="BL37" i="1"/>
  <c r="CS37" i="1"/>
  <c r="CC37" i="1"/>
  <c r="AK37" i="1"/>
  <c r="Q37" i="1"/>
  <c r="U37" i="1"/>
  <c r="BV37" i="1"/>
  <c r="DC37" i="1"/>
  <c r="CU37" i="1"/>
  <c r="CR37" i="1"/>
  <c r="CI37" i="1"/>
  <c r="W37" i="1"/>
  <c r="AO37" i="1"/>
  <c r="AY37" i="1"/>
  <c r="BT37" i="1"/>
  <c r="CQ37" i="1"/>
  <c r="AB37" i="1"/>
  <c r="CW37" i="1"/>
  <c r="BF37" i="1"/>
  <c r="Y37" i="1"/>
  <c r="CJ37" i="1"/>
  <c r="BK37" i="1"/>
  <c r="BM37" i="1"/>
  <c r="BP37" i="1"/>
  <c r="BO37" i="1"/>
  <c r="AS37" i="1"/>
  <c r="BY37" i="1"/>
  <c r="AF37" i="1"/>
  <c r="AE37" i="1"/>
  <c r="BC37" i="1"/>
  <c r="P37" i="1"/>
  <c r="BD37" i="1"/>
  <c r="M38" i="1" l="1"/>
  <c r="T38" i="1" l="1"/>
  <c r="Z38" i="1"/>
  <c r="Q38" i="1"/>
  <c r="AJ38" i="1"/>
  <c r="AW38" i="1"/>
  <c r="R38" i="1"/>
  <c r="AO38" i="1"/>
  <c r="BL38" i="1"/>
  <c r="BB38" i="1"/>
  <c r="V38" i="1"/>
  <c r="BI38" i="1"/>
  <c r="CY38" i="1"/>
  <c r="BJ38" i="1"/>
  <c r="AX38" i="1"/>
  <c r="AF38" i="1"/>
  <c r="AB38" i="1"/>
  <c r="BG38" i="1"/>
  <c r="AG38" i="1"/>
  <c r="CO38" i="1"/>
  <c r="CT38" i="1"/>
  <c r="AC38" i="1"/>
  <c r="AA38" i="1"/>
  <c r="CD38" i="1"/>
  <c r="AK38" i="1"/>
  <c r="BD38" i="1"/>
  <c r="AM38" i="1"/>
  <c r="CI38" i="1"/>
  <c r="W38" i="1"/>
  <c r="CZ38" i="1"/>
  <c r="AD38" i="1"/>
  <c r="CB38" i="1"/>
  <c r="CR38" i="1"/>
  <c r="X38" i="1"/>
  <c r="U38" i="1"/>
  <c r="CP38" i="1"/>
  <c r="CA38" i="1"/>
  <c r="BF38" i="1"/>
  <c r="CK38" i="1"/>
  <c r="BQ38" i="1"/>
  <c r="AE38" i="1"/>
  <c r="CJ38" i="1"/>
  <c r="BT38" i="1"/>
  <c r="DC38" i="1"/>
  <c r="DB38" i="1"/>
  <c r="O38" i="1"/>
  <c r="BS38" i="1"/>
  <c r="BU38" i="1"/>
  <c r="AV38" i="1"/>
  <c r="AQ38" i="1"/>
  <c r="AP38" i="1"/>
  <c r="BX38" i="1"/>
  <c r="AL38" i="1"/>
  <c r="BN38" i="1"/>
  <c r="CX38" i="1"/>
  <c r="BH38" i="1"/>
  <c r="BV38" i="1"/>
  <c r="CU38" i="1"/>
  <c r="BC38" i="1"/>
  <c r="BR38" i="1"/>
  <c r="BO38" i="1"/>
  <c r="BM38" i="1"/>
  <c r="AR38" i="1"/>
  <c r="S38" i="1"/>
  <c r="BZ38" i="1"/>
  <c r="BP38" i="1"/>
  <c r="AN38" i="1"/>
  <c r="AH38" i="1"/>
  <c r="CS38" i="1"/>
  <c r="AS38" i="1"/>
  <c r="CV38" i="1"/>
  <c r="CL38" i="1"/>
  <c r="CF38" i="1"/>
  <c r="DA38" i="1"/>
  <c r="AU38" i="1"/>
  <c r="CC38" i="1"/>
  <c r="CQ38" i="1"/>
  <c r="P38" i="1"/>
  <c r="BY38" i="1"/>
  <c r="CE38" i="1"/>
  <c r="BK38" i="1"/>
  <c r="AI38" i="1"/>
  <c r="AY38" i="1"/>
  <c r="CW38" i="1"/>
  <c r="AT38" i="1"/>
  <c r="CH38" i="1"/>
  <c r="CG38" i="1"/>
  <c r="BW38" i="1"/>
  <c r="CM38" i="1"/>
  <c r="BA38" i="1"/>
  <c r="BE38" i="1"/>
  <c r="Y38" i="1"/>
  <c r="AZ38" i="1"/>
  <c r="CN38" i="1"/>
  <c r="M39" i="1" l="1"/>
  <c r="BX39" i="1" l="1"/>
  <c r="V39" i="1"/>
  <c r="AG39" i="1"/>
  <c r="AB39" i="1"/>
  <c r="CY39" i="1"/>
  <c r="BY39" i="1"/>
  <c r="AE39" i="1"/>
  <c r="DA39" i="1"/>
  <c r="AU39" i="1"/>
  <c r="AM39" i="1"/>
  <c r="CF39" i="1"/>
  <c r="Q39" i="1"/>
  <c r="BI39" i="1"/>
  <c r="T39" i="1"/>
  <c r="CK39" i="1"/>
  <c r="CH39" i="1"/>
  <c r="S39" i="1"/>
  <c r="CA39" i="1"/>
  <c r="P39" i="1"/>
  <c r="BA39" i="1"/>
  <c r="CW39" i="1"/>
  <c r="CD39" i="1"/>
  <c r="AV39" i="1"/>
  <c r="AC39" i="1"/>
  <c r="CM39" i="1"/>
  <c r="CO39" i="1"/>
  <c r="CV39" i="1"/>
  <c r="CB39" i="1"/>
  <c r="BN39" i="1"/>
  <c r="BD39" i="1"/>
  <c r="CR39" i="1"/>
  <c r="AZ39" i="1"/>
  <c r="AH39" i="1"/>
  <c r="DC39" i="1"/>
  <c r="BB39" i="1"/>
  <c r="BG39" i="1"/>
  <c r="CI39" i="1"/>
  <c r="AP39" i="1"/>
  <c r="O39" i="1"/>
  <c r="X39" i="1"/>
  <c r="DB39" i="1"/>
  <c r="AL39" i="1"/>
  <c r="AF39" i="1"/>
  <c r="BK39" i="1"/>
  <c r="AQ39" i="1"/>
  <c r="CC39" i="1"/>
  <c r="R39" i="1"/>
  <c r="AT39" i="1"/>
  <c r="AS39" i="1"/>
  <c r="BZ39" i="1"/>
  <c r="BM39" i="1"/>
  <c r="CX39" i="1"/>
  <c r="CS39" i="1"/>
  <c r="BJ39" i="1"/>
  <c r="AI39" i="1"/>
  <c r="Y39" i="1"/>
  <c r="BP39" i="1"/>
  <c r="BV39" i="1"/>
  <c r="BU39" i="1"/>
  <c r="BF39" i="1"/>
  <c r="BS39" i="1"/>
  <c r="BQ39" i="1"/>
  <c r="BW39" i="1"/>
  <c r="AA39" i="1"/>
  <c r="AY39" i="1"/>
  <c r="CQ39" i="1"/>
  <c r="CL39" i="1"/>
  <c r="U39" i="1"/>
  <c r="AN39" i="1"/>
  <c r="AK39" i="1"/>
  <c r="CZ39" i="1"/>
  <c r="BR39" i="1"/>
  <c r="CE39" i="1"/>
  <c r="CU39" i="1"/>
  <c r="CT39" i="1"/>
  <c r="BC39" i="1"/>
  <c r="BH39" i="1"/>
  <c r="AO39" i="1"/>
  <c r="Z39" i="1"/>
  <c r="CP39" i="1"/>
  <c r="AJ39" i="1"/>
  <c r="W39" i="1"/>
  <c r="BL39" i="1"/>
  <c r="CG39" i="1"/>
  <c r="AW39" i="1"/>
  <c r="CJ39" i="1"/>
  <c r="M40" i="1"/>
  <c r="AR39" i="1"/>
  <c r="BT39" i="1"/>
  <c r="BE39" i="1"/>
  <c r="CN39" i="1"/>
  <c r="AD39" i="1"/>
  <c r="AX39" i="1"/>
  <c r="BO39" i="1"/>
  <c r="BR40" i="1" l="1"/>
  <c r="BZ40" i="1"/>
  <c r="AV40" i="1"/>
  <c r="O40" i="1"/>
  <c r="CW40" i="1"/>
  <c r="AX40" i="1"/>
  <c r="S40" i="1"/>
  <c r="U40" i="1"/>
  <c r="AZ40" i="1"/>
  <c r="BF40" i="1"/>
  <c r="CZ40" i="1"/>
  <c r="BX40" i="1"/>
  <c r="AQ40" i="1"/>
  <c r="BT40" i="1"/>
  <c r="CD40" i="1"/>
  <c r="CU40" i="1"/>
  <c r="AK40" i="1"/>
  <c r="BU40" i="1"/>
  <c r="CE40" i="1"/>
  <c r="Z40" i="1"/>
  <c r="AS40" i="1"/>
  <c r="BC40" i="1"/>
  <c r="AR40" i="1"/>
  <c r="CJ40" i="1"/>
  <c r="AA40" i="1"/>
  <c r="CB40" i="1"/>
  <c r="CV40" i="1"/>
  <c r="CA40" i="1"/>
  <c r="BQ40" i="1"/>
  <c r="BH40" i="1"/>
  <c r="CR40" i="1"/>
  <c r="BV40" i="1"/>
  <c r="CL40" i="1"/>
  <c r="AE40" i="1"/>
  <c r="DA40" i="1"/>
  <c r="P40" i="1"/>
  <c r="BD40" i="1"/>
  <c r="BW40" i="1"/>
  <c r="W40" i="1"/>
  <c r="AI40" i="1"/>
  <c r="CY40" i="1"/>
  <c r="CC40" i="1"/>
  <c r="CM40" i="1"/>
  <c r="CG40" i="1"/>
  <c r="CX40" i="1"/>
  <c r="AF40" i="1"/>
  <c r="AJ40" i="1"/>
  <c r="AP40" i="1"/>
  <c r="CF40" i="1"/>
  <c r="BO40" i="1"/>
  <c r="CP40" i="1"/>
  <c r="CO40" i="1"/>
  <c r="AM40" i="1"/>
  <c r="AL40" i="1"/>
  <c r="BA40" i="1"/>
  <c r="AW40" i="1"/>
  <c r="AB40" i="1"/>
  <c r="BK40" i="1"/>
  <c r="AD40" i="1"/>
  <c r="CQ40" i="1"/>
  <c r="BP40" i="1"/>
  <c r="R40" i="1"/>
  <c r="BE40" i="1"/>
  <c r="BI40" i="1"/>
  <c r="AG40" i="1"/>
  <c r="Q40" i="1"/>
  <c r="AH40" i="1"/>
  <c r="BJ40" i="1"/>
  <c r="BL40" i="1"/>
  <c r="V40" i="1"/>
  <c r="DC40" i="1"/>
  <c r="BB40" i="1"/>
  <c r="CH40" i="1"/>
  <c r="BM40" i="1"/>
  <c r="T40" i="1"/>
  <c r="BN40" i="1"/>
  <c r="CS40" i="1"/>
  <c r="DB40" i="1"/>
  <c r="X40" i="1"/>
  <c r="AN40" i="1"/>
  <c r="AT40" i="1"/>
  <c r="AC40" i="1"/>
  <c r="AY40" i="1"/>
  <c r="BG40" i="1"/>
  <c r="CK40" i="1"/>
  <c r="Y40" i="1"/>
  <c r="BS40" i="1"/>
  <c r="CN40" i="1"/>
  <c r="CT40" i="1"/>
  <c r="BY40" i="1"/>
  <c r="CI40" i="1"/>
  <c r="AU40" i="1"/>
  <c r="AO40" i="1"/>
  <c r="M41" i="1" l="1"/>
  <c r="BP41" i="1" l="1"/>
  <c r="AW41" i="1"/>
  <c r="U41" i="1"/>
  <c r="AC41" i="1"/>
  <c r="AO41" i="1"/>
  <c r="BV41" i="1"/>
  <c r="BH41" i="1"/>
  <c r="BL41" i="1"/>
  <c r="CU41" i="1"/>
  <c r="BE41" i="1"/>
  <c r="CA41" i="1"/>
  <c r="DC41" i="1"/>
  <c r="AB41" i="1"/>
  <c r="BQ41" i="1"/>
  <c r="CI41" i="1"/>
  <c r="CT41" i="1"/>
  <c r="DB41" i="1"/>
  <c r="Z41" i="1"/>
  <c r="AK41" i="1"/>
  <c r="AT41" i="1"/>
  <c r="AS41" i="1"/>
  <c r="BW41" i="1"/>
  <c r="BG41" i="1"/>
  <c r="BN41" i="1"/>
  <c r="BS41" i="1"/>
  <c r="BJ41" i="1"/>
  <c r="CK41" i="1"/>
  <c r="R41" i="1"/>
  <c r="BK41" i="1"/>
  <c r="AI41" i="1"/>
  <c r="AE41" i="1"/>
  <c r="P41" i="1"/>
  <c r="CP41" i="1"/>
  <c r="CG41" i="1"/>
  <c r="AD41" i="1"/>
  <c r="AV41" i="1"/>
  <c r="Y41" i="1"/>
  <c r="CN41" i="1"/>
  <c r="CY41" i="1"/>
  <c r="O41" i="1"/>
  <c r="AZ41" i="1"/>
  <c r="S41" i="1"/>
  <c r="CF41" i="1"/>
  <c r="AR41" i="1"/>
  <c r="CX41" i="1"/>
  <c r="V41" i="1"/>
  <c r="BI41" i="1"/>
  <c r="BU41" i="1"/>
  <c r="X41" i="1"/>
  <c r="BA41" i="1"/>
  <c r="BT41" i="1"/>
  <c r="AF41" i="1"/>
  <c r="DA41" i="1"/>
  <c r="CE41" i="1"/>
  <c r="CR41" i="1"/>
  <c r="CL41" i="1"/>
  <c r="AA41" i="1"/>
  <c r="CO41" i="1"/>
  <c r="CZ41" i="1"/>
  <c r="BZ41" i="1"/>
  <c r="AL41" i="1"/>
  <c r="BY41" i="1"/>
  <c r="AY41" i="1"/>
  <c r="AU41" i="1"/>
  <c r="CD41" i="1"/>
  <c r="BB41" i="1"/>
  <c r="CC41" i="1"/>
  <c r="T41" i="1"/>
  <c r="BC41" i="1"/>
  <c r="Q41" i="1"/>
  <c r="AQ41" i="1"/>
  <c r="BX41" i="1"/>
  <c r="BR41" i="1"/>
  <c r="AG41" i="1"/>
  <c r="AH41" i="1"/>
  <c r="CW41" i="1"/>
  <c r="CS41" i="1"/>
  <c r="CV41" i="1"/>
  <c r="AX41" i="1"/>
  <c r="BD41" i="1"/>
  <c r="BM41" i="1"/>
  <c r="BF41" i="1"/>
  <c r="CQ41" i="1"/>
  <c r="CH41" i="1"/>
  <c r="AP41" i="1"/>
  <c r="W41" i="1"/>
  <c r="AM41" i="1"/>
  <c r="AN41" i="1"/>
  <c r="BO41" i="1"/>
  <c r="AJ41" i="1"/>
  <c r="CB41" i="1"/>
  <c r="CM41" i="1"/>
  <c r="CJ41" i="1"/>
  <c r="M42" i="1" l="1"/>
  <c r="CM42" i="1" l="1"/>
  <c r="AF42" i="1"/>
  <c r="CL42" i="1"/>
  <c r="CW42" i="1"/>
  <c r="CB42" i="1"/>
  <c r="BY42" i="1"/>
  <c r="T42" i="1"/>
  <c r="AX42" i="1"/>
  <c r="Q42" i="1"/>
  <c r="AS42" i="1"/>
  <c r="BT42" i="1"/>
  <c r="BM42" i="1"/>
  <c r="BH42" i="1"/>
  <c r="O42" i="1"/>
  <c r="BV42" i="1"/>
  <c r="AM42" i="1"/>
  <c r="BK42" i="1"/>
  <c r="AU42" i="1"/>
  <c r="CU42" i="1"/>
  <c r="Z42" i="1"/>
  <c r="BQ42" i="1"/>
  <c r="CC42" i="1"/>
  <c r="BW42" i="1"/>
  <c r="AZ42" i="1"/>
  <c r="BN42" i="1"/>
  <c r="BR42" i="1"/>
  <c r="BJ42" i="1"/>
  <c r="BF42" i="1"/>
  <c r="DC42" i="1"/>
  <c r="AA42" i="1"/>
  <c r="CZ42" i="1"/>
  <c r="P42" i="1"/>
  <c r="CQ42" i="1"/>
  <c r="Y42" i="1"/>
  <c r="BZ42" i="1"/>
  <c r="BA42" i="1"/>
  <c r="BC42" i="1"/>
  <c r="AY42" i="1"/>
  <c r="AR42" i="1"/>
  <c r="BP42" i="1"/>
  <c r="AQ42" i="1"/>
  <c r="CA42" i="1"/>
  <c r="BB42" i="1"/>
  <c r="AL42" i="1"/>
  <c r="CK42" i="1"/>
  <c r="AO42" i="1"/>
  <c r="AC42" i="1"/>
  <c r="DA42" i="1"/>
  <c r="CD42" i="1"/>
  <c r="BL42" i="1"/>
  <c r="AT42" i="1"/>
  <c r="BO42" i="1"/>
  <c r="AD42" i="1"/>
  <c r="DB42" i="1"/>
  <c r="AJ42" i="1"/>
  <c r="CT42" i="1"/>
  <c r="CO42" i="1"/>
  <c r="CR42" i="1"/>
  <c r="AK42" i="1"/>
  <c r="CH42" i="1"/>
  <c r="CV42" i="1"/>
  <c r="CI42" i="1"/>
  <c r="AB42" i="1"/>
  <c r="AP42" i="1"/>
  <c r="AH42" i="1"/>
  <c r="CE42" i="1"/>
  <c r="AI42" i="1"/>
  <c r="CG42" i="1"/>
  <c r="AN42" i="1"/>
  <c r="BG42" i="1"/>
  <c r="AG42" i="1"/>
  <c r="CY42" i="1"/>
  <c r="BI42" i="1"/>
  <c r="AV42" i="1"/>
  <c r="BE42" i="1"/>
  <c r="CF42" i="1"/>
  <c r="CP42" i="1"/>
  <c r="BU42" i="1"/>
  <c r="BX42" i="1"/>
  <c r="V42" i="1"/>
  <c r="BS42" i="1"/>
  <c r="S42" i="1"/>
  <c r="U42" i="1"/>
  <c r="BD42" i="1"/>
  <c r="R42" i="1"/>
  <c r="CX42" i="1"/>
  <c r="W42" i="1"/>
  <c r="CN42" i="1"/>
  <c r="CJ42" i="1"/>
  <c r="AE42" i="1"/>
  <c r="X42" i="1"/>
  <c r="CS42" i="1"/>
  <c r="AW42" i="1"/>
  <c r="M43" i="1"/>
  <c r="CN43" i="1" l="1"/>
  <c r="S43" i="1"/>
  <c r="X43" i="1"/>
  <c r="BX43" i="1"/>
  <c r="CL43" i="1"/>
  <c r="CU43" i="1"/>
  <c r="R43" i="1"/>
  <c r="CI43" i="1"/>
  <c r="CQ43" i="1"/>
  <c r="BG43" i="1"/>
  <c r="CB43" i="1"/>
  <c r="AJ43" i="1"/>
  <c r="AH43" i="1"/>
  <c r="BM43" i="1"/>
  <c r="DB43" i="1"/>
  <c r="BA43" i="1"/>
  <c r="BL43" i="1"/>
  <c r="AB43" i="1"/>
  <c r="AL43" i="1"/>
  <c r="AD43" i="1"/>
  <c r="BC43" i="1"/>
  <c r="AZ43" i="1"/>
  <c r="AK43" i="1"/>
  <c r="AS43" i="1"/>
  <c r="AT43" i="1"/>
  <c r="DA43" i="1"/>
  <c r="CJ43" i="1"/>
  <c r="AM43" i="1"/>
  <c r="CC43" i="1"/>
  <c r="BN43" i="1"/>
  <c r="CV43" i="1"/>
  <c r="CX43" i="1"/>
  <c r="AY43" i="1"/>
  <c r="CP43" i="1"/>
  <c r="AG43" i="1"/>
  <c r="CR43" i="1"/>
  <c r="BI43" i="1"/>
  <c r="Y43" i="1"/>
  <c r="Q43" i="1"/>
  <c r="W43" i="1"/>
  <c r="BH43" i="1"/>
  <c r="BD43" i="1"/>
  <c r="AI43" i="1"/>
  <c r="V43" i="1"/>
  <c r="BU43" i="1"/>
  <c r="BY43" i="1"/>
  <c r="AE43" i="1"/>
  <c r="CT43" i="1"/>
  <c r="CY43" i="1"/>
  <c r="AC43" i="1"/>
  <c r="CG43" i="1"/>
  <c r="AR43" i="1"/>
  <c r="BV43" i="1"/>
  <c r="AU43" i="1"/>
  <c r="CS43" i="1"/>
  <c r="AA43" i="1"/>
  <c r="CD43" i="1"/>
  <c r="DC43" i="1"/>
  <c r="BJ43" i="1"/>
  <c r="AP43" i="1"/>
  <c r="CZ43" i="1"/>
  <c r="BB43" i="1"/>
  <c r="BQ43" i="1"/>
  <c r="BE43" i="1"/>
  <c r="CF43" i="1"/>
  <c r="BO43" i="1"/>
  <c r="T43" i="1"/>
  <c r="AF43" i="1"/>
  <c r="CK43" i="1"/>
  <c r="BP43" i="1"/>
  <c r="BF43" i="1"/>
  <c r="AQ43" i="1"/>
  <c r="CO43" i="1"/>
  <c r="BS43" i="1"/>
  <c r="BK43" i="1"/>
  <c r="P43" i="1"/>
  <c r="BT43" i="1"/>
  <c r="U43" i="1"/>
  <c r="CE43" i="1"/>
  <c r="O43" i="1"/>
  <c r="CW43" i="1"/>
  <c r="BR43" i="1"/>
  <c r="CA43" i="1"/>
  <c r="BW43" i="1"/>
  <c r="AN43" i="1"/>
  <c r="AX43" i="1"/>
  <c r="AO43" i="1"/>
  <c r="AV43" i="1"/>
  <c r="CM43" i="1"/>
  <c r="CH43" i="1"/>
  <c r="AW43" i="1"/>
  <c r="Z43" i="1"/>
  <c r="BZ43" i="1"/>
  <c r="M44" i="1"/>
  <c r="BG44" i="1" l="1"/>
  <c r="CP44" i="1"/>
  <c r="CL44" i="1"/>
  <c r="AY44" i="1"/>
  <c r="BS44" i="1"/>
  <c r="AE44" i="1"/>
  <c r="BY44" i="1"/>
  <c r="CB44" i="1"/>
  <c r="CW44" i="1"/>
  <c r="BH44" i="1"/>
  <c r="CT44" i="1"/>
  <c r="BA44" i="1"/>
  <c r="AW44" i="1"/>
  <c r="CF44" i="1"/>
  <c r="AX44" i="1"/>
  <c r="BP44" i="1"/>
  <c r="Q44" i="1"/>
  <c r="CE44" i="1"/>
  <c r="AM44" i="1"/>
  <c r="O44" i="1"/>
  <c r="X44" i="1"/>
  <c r="BM44" i="1"/>
  <c r="BC44" i="1"/>
  <c r="CY44" i="1"/>
  <c r="CS44" i="1"/>
  <c r="AQ44" i="1"/>
  <c r="BT44" i="1"/>
  <c r="AI44" i="1"/>
  <c r="CR44" i="1"/>
  <c r="T44" i="1"/>
  <c r="BN44" i="1"/>
  <c r="AS44" i="1"/>
  <c r="BJ44" i="1"/>
  <c r="CA44" i="1"/>
  <c r="DA44" i="1"/>
  <c r="BO44" i="1"/>
  <c r="CI44" i="1"/>
  <c r="CZ44" i="1"/>
  <c r="BK44" i="1"/>
  <c r="DC44" i="1"/>
  <c r="CQ44" i="1"/>
  <c r="AU44" i="1"/>
  <c r="CG44" i="1"/>
  <c r="AT44" i="1"/>
  <c r="AK44" i="1"/>
  <c r="BR44" i="1"/>
  <c r="AH44" i="1"/>
  <c r="AN44" i="1"/>
  <c r="BE44" i="1"/>
  <c r="Z44" i="1"/>
  <c r="BX44" i="1"/>
  <c r="AB44" i="1"/>
  <c r="BW44" i="1"/>
  <c r="BD44" i="1"/>
  <c r="W44" i="1"/>
  <c r="S44" i="1"/>
  <c r="CH44" i="1"/>
  <c r="BB44" i="1"/>
  <c r="AJ44" i="1"/>
  <c r="CJ44" i="1"/>
  <c r="CN44" i="1"/>
  <c r="BQ44" i="1"/>
  <c r="BU44" i="1"/>
  <c r="DB44" i="1"/>
  <c r="CU44" i="1"/>
  <c r="CV44" i="1"/>
  <c r="CX44" i="1"/>
  <c r="AA44" i="1"/>
  <c r="CO44" i="1"/>
  <c r="AO44" i="1"/>
  <c r="BV44" i="1"/>
  <c r="CC44" i="1"/>
  <c r="BZ44" i="1"/>
  <c r="CK44" i="1"/>
  <c r="AP44" i="1"/>
  <c r="AR44" i="1"/>
  <c r="V44" i="1"/>
  <c r="AV44" i="1"/>
  <c r="CM44" i="1"/>
  <c r="AG44" i="1"/>
  <c r="AF44" i="1"/>
  <c r="P44" i="1"/>
  <c r="AD44" i="1"/>
  <c r="U44" i="1"/>
  <c r="AZ44" i="1"/>
  <c r="BL44" i="1"/>
  <c r="CD44" i="1"/>
  <c r="BF44" i="1"/>
  <c r="Y44" i="1"/>
  <c r="R44" i="1"/>
  <c r="AC44" i="1"/>
  <c r="BI44" i="1"/>
  <c r="AL44" i="1"/>
  <c r="M45" i="1"/>
  <c r="M60" i="1" l="1"/>
  <c r="M57" i="1"/>
  <c r="M56" i="1"/>
  <c r="M59" i="1"/>
  <c r="M55" i="1"/>
  <c r="M58" i="1"/>
  <c r="M61" i="1"/>
  <c r="M54" i="1"/>
  <c r="M53" i="1"/>
  <c r="AW52" i="1"/>
  <c r="M52" i="1"/>
  <c r="AL45" i="1"/>
  <c r="CR45" i="1"/>
  <c r="BT45" i="1"/>
  <c r="CJ45" i="1"/>
  <c r="CN45" i="1"/>
  <c r="BB45" i="1"/>
  <c r="AD45" i="1"/>
  <c r="Q45" i="1"/>
  <c r="AT45" i="1"/>
  <c r="AO45" i="1"/>
  <c r="AQ45" i="1"/>
  <c r="BX45" i="1"/>
  <c r="CD45" i="1"/>
  <c r="AV45" i="1"/>
  <c r="X45" i="1"/>
  <c r="CH45" i="1"/>
  <c r="CE45" i="1"/>
  <c r="AI45" i="1"/>
  <c r="CW45" i="1"/>
  <c r="CG45" i="1"/>
  <c r="BE45" i="1"/>
  <c r="AF45" i="1"/>
  <c r="AB45" i="1"/>
  <c r="AE45" i="1"/>
  <c r="AW45" i="1"/>
  <c r="BJ45" i="1"/>
  <c r="AZ45" i="1"/>
  <c r="BI45" i="1"/>
  <c r="BW45" i="1"/>
  <c r="AJ45" i="1"/>
  <c r="BM45" i="1"/>
  <c r="AP45" i="1"/>
  <c r="AH45" i="1"/>
  <c r="DC45" i="1"/>
  <c r="CZ45" i="1"/>
  <c r="CB45" i="1"/>
  <c r="BL45" i="1"/>
  <c r="BS45" i="1"/>
  <c r="CP45" i="1"/>
  <c r="CL45" i="1"/>
  <c r="Z45" i="1"/>
  <c r="BZ45" i="1"/>
  <c r="U45" i="1"/>
  <c r="CA45" i="1"/>
  <c r="CK45" i="1"/>
  <c r="BC45" i="1"/>
  <c r="BO45" i="1"/>
  <c r="AN45" i="1"/>
  <c r="CM45" i="1"/>
  <c r="CF45" i="1"/>
  <c r="CO45" i="1"/>
  <c r="AU45" i="1"/>
  <c r="BA45" i="1"/>
  <c r="BU45" i="1"/>
  <c r="BK45" i="1"/>
  <c r="BH45" i="1"/>
  <c r="CU45" i="1"/>
  <c r="CI45" i="1"/>
  <c r="AC45" i="1"/>
  <c r="BY45" i="1"/>
  <c r="CQ45" i="1"/>
  <c r="BF45" i="1"/>
  <c r="DA45" i="1"/>
  <c r="V45" i="1"/>
  <c r="S45" i="1"/>
  <c r="R45" i="1"/>
  <c r="CT45" i="1"/>
  <c r="CV45" i="1"/>
  <c r="AA45" i="1"/>
  <c r="AR45" i="1"/>
  <c r="BQ45" i="1"/>
  <c r="O45" i="1"/>
  <c r="BG45" i="1"/>
  <c r="AM45" i="1"/>
  <c r="Y45" i="1"/>
  <c r="AS45" i="1"/>
  <c r="CY45" i="1"/>
  <c r="CX45" i="1"/>
  <c r="AG45" i="1"/>
  <c r="AK45" i="1"/>
  <c r="BR45" i="1"/>
  <c r="CC45" i="1"/>
  <c r="AY45" i="1"/>
  <c r="DB45" i="1"/>
  <c r="CS45" i="1"/>
  <c r="BV45" i="1"/>
  <c r="AX45" i="1"/>
  <c r="BD45" i="1"/>
  <c r="BN45" i="1"/>
  <c r="P45" i="1"/>
  <c r="T45" i="1"/>
  <c r="BP45" i="1"/>
  <c r="W45" i="1"/>
  <c r="M46" i="1"/>
  <c r="P53" i="1" l="1"/>
  <c r="R53" i="1"/>
  <c r="BG53" i="1"/>
  <c r="CQ53" i="1"/>
  <c r="AQ53" i="1"/>
  <c r="CB53" i="1"/>
  <c r="W53" i="1"/>
  <c r="BK53" i="1"/>
  <c r="CU53" i="1"/>
  <c r="BR53" i="1"/>
  <c r="BB53" i="1"/>
  <c r="AW53" i="1"/>
  <c r="AI53" i="1"/>
  <c r="BH53" i="1"/>
  <c r="CA53" i="1"/>
  <c r="CV53" i="1"/>
  <c r="V53" i="1"/>
  <c r="Y53" i="1"/>
  <c r="BM53" i="1"/>
  <c r="CW53" i="1"/>
  <c r="AX53" i="1"/>
  <c r="CH53" i="1"/>
  <c r="AD53" i="1"/>
  <c r="BQ53" i="1"/>
  <c r="DA53" i="1"/>
  <c r="CD53" i="1"/>
  <c r="BN53" i="1"/>
  <c r="BO53" i="1"/>
  <c r="BC53" i="1"/>
  <c r="BX53" i="1"/>
  <c r="CS53" i="1"/>
  <c r="AG53" i="1"/>
  <c r="AB53" i="1"/>
  <c r="AF53" i="1"/>
  <c r="BS53" i="1"/>
  <c r="DC53" i="1"/>
  <c r="BD53" i="1"/>
  <c r="CN53" i="1"/>
  <c r="AK53" i="1"/>
  <c r="BW53" i="1"/>
  <c r="Q53" i="1"/>
  <c r="CP53" i="1"/>
  <c r="BZ53" i="1"/>
  <c r="CG53" i="1"/>
  <c r="BU53" i="1"/>
  <c r="CR53" i="1"/>
  <c r="X53" i="1"/>
  <c r="BT53" i="1"/>
  <c r="AH53" i="1"/>
  <c r="AM53" i="1"/>
  <c r="BY53" i="1"/>
  <c r="U53" i="1"/>
  <c r="BJ53" i="1"/>
  <c r="CT53" i="1"/>
  <c r="AR53" i="1"/>
  <c r="CC53" i="1"/>
  <c r="AE53" i="1"/>
  <c r="DB53" i="1"/>
  <c r="CL53" i="1"/>
  <c r="CY53" i="1"/>
  <c r="CM53" i="1"/>
  <c r="T53" i="1"/>
  <c r="AV53" i="1"/>
  <c r="AN53" i="1"/>
  <c r="AU53" i="1"/>
  <c r="CE53" i="1"/>
  <c r="AC53" i="1"/>
  <c r="BP53" i="1"/>
  <c r="CZ53" i="1"/>
  <c r="AY53" i="1"/>
  <c r="CI53" i="1"/>
  <c r="AS53" i="1"/>
  <c r="Z53" i="1"/>
  <c r="CX53" i="1"/>
  <c r="AZ53" i="1"/>
  <c r="S53" i="1"/>
  <c r="AT53" i="1"/>
  <c r="BA53" i="1"/>
  <c r="CK53" i="1"/>
  <c r="AJ53" i="1"/>
  <c r="BV53" i="1"/>
  <c r="T54" i="1"/>
  <c r="BD54" i="1"/>
  <c r="CN54" i="1"/>
  <c r="AJ54" i="1"/>
  <c r="BC54" i="1"/>
  <c r="BH54" i="1"/>
  <c r="CY54" i="1"/>
  <c r="BZ54" i="1"/>
  <c r="CA54" i="1"/>
  <c r="BB54" i="1"/>
  <c r="DC54" i="1"/>
  <c r="BU54" i="1"/>
  <c r="AU54" i="1"/>
  <c r="CW54" i="1"/>
  <c r="BY54" i="1"/>
  <c r="BS54" i="1"/>
  <c r="Z54" i="1"/>
  <c r="BJ54" i="1"/>
  <c r="CT54" i="1"/>
  <c r="AP54" i="1"/>
  <c r="S54" i="1"/>
  <c r="BO54" i="1"/>
  <c r="Y54" i="1"/>
  <c r="CI54" i="1"/>
  <c r="CS54" i="1"/>
  <c r="BL54" i="1"/>
  <c r="Q54" i="1"/>
  <c r="CE54" i="1"/>
  <c r="BF54" i="1"/>
  <c r="W54" i="1"/>
  <c r="CG54" i="1"/>
  <c r="CJ54" i="1"/>
  <c r="AF54" i="1"/>
  <c r="BP54" i="1"/>
  <c r="CZ54" i="1"/>
  <c r="V54" i="1"/>
  <c r="AB54" i="1"/>
  <c r="BW54" i="1"/>
  <c r="AM54" i="1"/>
  <c r="CQ54" i="1"/>
  <c r="AO54" i="1"/>
  <c r="BT54" i="1"/>
  <c r="AG54" i="1"/>
  <c r="CM54" i="1"/>
  <c r="BN54" i="1"/>
  <c r="AI54" i="1"/>
  <c r="CP54" i="1"/>
  <c r="DB54" i="1"/>
  <c r="AL54" i="1"/>
  <c r="BV54" i="1"/>
  <c r="R54" i="1"/>
  <c r="AE54" i="1"/>
  <c r="AK54" i="1"/>
  <c r="CD54" i="1"/>
  <c r="AY54" i="1"/>
  <c r="DA54" i="1"/>
  <c r="P54" i="1"/>
  <c r="CC54" i="1"/>
  <c r="AS54" i="1"/>
  <c r="CV54" i="1"/>
  <c r="BX54" i="1"/>
  <c r="AW54" i="1"/>
  <c r="CX54" i="1"/>
  <c r="AR54" i="1"/>
  <c r="CB54" i="1"/>
  <c r="X54" i="1"/>
  <c r="AN54" i="1"/>
  <c r="AT54" i="1"/>
  <c r="CK54" i="1"/>
  <c r="BI54" i="1"/>
  <c r="AA54" i="1"/>
  <c r="AC54" i="1"/>
  <c r="CL54" i="1"/>
  <c r="BE54" i="1"/>
  <c r="U54" i="1"/>
  <c r="CF54" i="1"/>
  <c r="BG54" i="1"/>
  <c r="O54" i="1"/>
  <c r="AX54" i="1"/>
  <c r="CH54" i="1"/>
  <c r="AD54" i="1"/>
  <c r="AV54" i="1"/>
  <c r="BA54" i="1"/>
  <c r="CR54" i="1"/>
  <c r="BR54" i="1"/>
  <c r="BK54" i="1"/>
  <c r="AQ54" i="1"/>
  <c r="CU54" i="1"/>
  <c r="BM54" i="1"/>
  <c r="AH54" i="1"/>
  <c r="CO54" i="1"/>
  <c r="BQ54" i="1"/>
  <c r="AZ54" i="1"/>
  <c r="AI55" i="1"/>
  <c r="BS55" i="1"/>
  <c r="DC55" i="1"/>
  <c r="BB55" i="1"/>
  <c r="CS55" i="1"/>
  <c r="BC55" i="1"/>
  <c r="DB55" i="1"/>
  <c r="CM55" i="1"/>
  <c r="BN55" i="1"/>
  <c r="X55" i="1"/>
  <c r="BX55" i="1"/>
  <c r="AH55" i="1"/>
  <c r="CH55" i="1"/>
  <c r="AR55" i="1"/>
  <c r="CR55" i="1"/>
  <c r="AO55" i="1"/>
  <c r="BY55" i="1"/>
  <c r="R55" i="1"/>
  <c r="BI55" i="1"/>
  <c r="CZ55" i="1"/>
  <c r="BK55" i="1"/>
  <c r="U55" i="1"/>
  <c r="V55" i="1"/>
  <c r="BV55" i="1"/>
  <c r="AG55" i="1"/>
  <c r="CG55" i="1"/>
  <c r="AQ55" i="1"/>
  <c r="CP55" i="1"/>
  <c r="AZ55" i="1"/>
  <c r="DA55" i="1"/>
  <c r="AU55" i="1"/>
  <c r="CE55" i="1"/>
  <c r="Y55" i="1"/>
  <c r="BP55" i="1"/>
  <c r="T55" i="1"/>
  <c r="BT55" i="1"/>
  <c r="AV55" i="1"/>
  <c r="AE55" i="1"/>
  <c r="CF55" i="1"/>
  <c r="AP55" i="1"/>
  <c r="CO55" i="1"/>
  <c r="AY55" i="1"/>
  <c r="CY55" i="1"/>
  <c r="BJ55" i="1"/>
  <c r="AL55" i="1"/>
  <c r="Q55" i="1"/>
  <c r="BA55" i="1"/>
  <c r="CK55" i="1"/>
  <c r="AF55" i="1"/>
  <c r="BW55" i="1"/>
  <c r="AB55" i="1"/>
  <c r="CB55" i="1"/>
  <c r="BU55" i="1"/>
  <c r="AN55" i="1"/>
  <c r="CN55" i="1"/>
  <c r="AX55" i="1"/>
  <c r="CX55" i="1"/>
  <c r="BH55" i="1"/>
  <c r="S55" i="1"/>
  <c r="BR55" i="1"/>
  <c r="BD55" i="1"/>
  <c r="W55" i="1"/>
  <c r="BG55" i="1"/>
  <c r="CQ55" i="1"/>
  <c r="AM55" i="1"/>
  <c r="CD55" i="1"/>
  <c r="AK55" i="1"/>
  <c r="CJ55" i="1"/>
  <c r="AD55" i="1"/>
  <c r="AW55" i="1"/>
  <c r="CV55" i="1"/>
  <c r="BF55" i="1"/>
  <c r="P55" i="1"/>
  <c r="BQ55" i="1"/>
  <c r="AA55" i="1"/>
  <c r="CA55" i="1"/>
  <c r="CC55" i="1"/>
  <c r="AC55" i="1"/>
  <c r="BM55" i="1"/>
  <c r="CW55" i="1"/>
  <c r="AT55" i="1"/>
  <c r="CL55" i="1"/>
  <c r="AS55" i="1"/>
  <c r="CT55" i="1"/>
  <c r="BL55" i="1"/>
  <c r="BE55" i="1"/>
  <c r="O55" i="1"/>
  <c r="BO55" i="1"/>
  <c r="Z55" i="1"/>
  <c r="BZ55" i="1"/>
  <c r="AJ55" i="1"/>
  <c r="CI55" i="1"/>
  <c r="CU55" i="1"/>
  <c r="AI57" i="1"/>
  <c r="AG57" i="1"/>
  <c r="BU57" i="1"/>
  <c r="O57" i="1"/>
  <c r="BM57" i="1"/>
  <c r="AH57" i="1"/>
  <c r="CX57" i="1"/>
  <c r="BH57" i="1"/>
  <c r="CZ57" i="1"/>
  <c r="BJ57" i="1"/>
  <c r="DA57" i="1"/>
  <c r="BK57" i="1"/>
  <c r="DB57" i="1"/>
  <c r="BL57" i="1"/>
  <c r="DC57" i="1"/>
  <c r="AO57" i="1"/>
  <c r="AN57" i="1"/>
  <c r="CA57" i="1"/>
  <c r="X57" i="1"/>
  <c r="BT57" i="1"/>
  <c r="BN57" i="1"/>
  <c r="R57" i="1"/>
  <c r="BP57" i="1"/>
  <c r="T57" i="1"/>
  <c r="BQ57" i="1"/>
  <c r="U57" i="1"/>
  <c r="BR57" i="1"/>
  <c r="V57" i="1"/>
  <c r="BS57" i="1"/>
  <c r="P57" i="1"/>
  <c r="AU57" i="1"/>
  <c r="AV57" i="1"/>
  <c r="CG57" i="1"/>
  <c r="AF57" i="1"/>
  <c r="CB57" i="1"/>
  <c r="CQ57" i="1"/>
  <c r="AA57" i="1"/>
  <c r="BW57" i="1"/>
  <c r="AB57" i="1"/>
  <c r="BX57" i="1"/>
  <c r="AD57" i="1"/>
  <c r="BY57" i="1"/>
  <c r="AE57" i="1"/>
  <c r="BZ57" i="1"/>
  <c r="AQ57" i="1"/>
  <c r="Q57" i="1"/>
  <c r="BA57" i="1"/>
  <c r="BC57" i="1"/>
  <c r="CM57" i="1"/>
  <c r="AP57" i="1"/>
  <c r="CI57" i="1"/>
  <c r="Y57" i="1"/>
  <c r="AJ57" i="1"/>
  <c r="CD57" i="1"/>
  <c r="AK57" i="1"/>
  <c r="CE57" i="1"/>
  <c r="AL57" i="1"/>
  <c r="CF57" i="1"/>
  <c r="AM57" i="1"/>
  <c r="CH57" i="1"/>
  <c r="AY57" i="1"/>
  <c r="W57" i="1"/>
  <c r="S57" i="1"/>
  <c r="BI57" i="1"/>
  <c r="CS57" i="1"/>
  <c r="AX57" i="1"/>
  <c r="CP57" i="1"/>
  <c r="BG57" i="1"/>
  <c r="AR57" i="1"/>
  <c r="CK57" i="1"/>
  <c r="AS57" i="1"/>
  <c r="CL57" i="1"/>
  <c r="AT57" i="1"/>
  <c r="CN57" i="1"/>
  <c r="AW57" i="1"/>
  <c r="CO57" i="1"/>
  <c r="BV57" i="1"/>
  <c r="AC57" i="1"/>
  <c r="Z57" i="1"/>
  <c r="BO57" i="1"/>
  <c r="CY57" i="1"/>
  <c r="BF57" i="1"/>
  <c r="CW57" i="1"/>
  <c r="CC57" i="1"/>
  <c r="AZ57" i="1"/>
  <c r="CR57" i="1"/>
  <c r="BB57" i="1"/>
  <c r="CT57" i="1"/>
  <c r="BD57" i="1"/>
  <c r="CU57" i="1"/>
  <c r="BE57" i="1"/>
  <c r="CV57" i="1"/>
  <c r="CJ57" i="1"/>
  <c r="CE52" i="1"/>
  <c r="AV52" i="1"/>
  <c r="T52" i="1"/>
  <c r="DA52" i="1"/>
  <c r="AZ52" i="1"/>
  <c r="BM52" i="1"/>
  <c r="CO52" i="1"/>
  <c r="AI52" i="1"/>
  <c r="BA52" i="1"/>
  <c r="CG52" i="1"/>
  <c r="CF53" i="1"/>
  <c r="AA53" i="1"/>
  <c r="AN52" i="1"/>
  <c r="AA52" i="1"/>
  <c r="CX52" i="1"/>
  <c r="CL52" i="1"/>
  <c r="AL52" i="1"/>
  <c r="BF52" i="1"/>
  <c r="CH52" i="1"/>
  <c r="AB52" i="1"/>
  <c r="AT52" i="1"/>
  <c r="BO52" i="1"/>
  <c r="BL53" i="1"/>
  <c r="AO53" i="1"/>
  <c r="CT52" i="1"/>
  <c r="AS52" i="1"/>
  <c r="BG52" i="1"/>
  <c r="AU52" i="1"/>
  <c r="W52" i="1"/>
  <c r="AJ52" i="1"/>
  <c r="BZ52" i="1"/>
  <c r="CR52" i="1"/>
  <c r="AM52" i="1"/>
  <c r="BI52" i="1"/>
  <c r="BI53" i="1"/>
  <c r="BF53" i="1"/>
  <c r="AK59" i="1"/>
  <c r="BU59" i="1"/>
  <c r="P59" i="1"/>
  <c r="CC59" i="1"/>
  <c r="AF59" i="1"/>
  <c r="AU59" i="1"/>
  <c r="AB59" i="1"/>
  <c r="BS59" i="1"/>
  <c r="O59" i="1"/>
  <c r="BF59" i="1"/>
  <c r="CW59" i="1"/>
  <c r="X59" i="1"/>
  <c r="BR59" i="1"/>
  <c r="BY59" i="1"/>
  <c r="DB59" i="1"/>
  <c r="AQ59" i="1"/>
  <c r="CA59" i="1"/>
  <c r="W59" i="1"/>
  <c r="CQ59" i="1"/>
  <c r="BA59" i="1"/>
  <c r="BB59" i="1"/>
  <c r="AI59" i="1"/>
  <c r="Y59" i="1"/>
  <c r="CG59" i="1"/>
  <c r="AZ59" i="1"/>
  <c r="CD59" i="1"/>
  <c r="BX59" i="1"/>
  <c r="BZ59" i="1"/>
  <c r="AC59" i="1"/>
  <c r="CB59" i="1"/>
  <c r="CJ59" i="1"/>
  <c r="AG59" i="1"/>
  <c r="CU59" i="1"/>
  <c r="BD59" i="1"/>
  <c r="AE59" i="1"/>
  <c r="CM59" i="1"/>
  <c r="BN59" i="1"/>
  <c r="CZ59" i="1"/>
  <c r="U59" i="1"/>
  <c r="CH59" i="1"/>
  <c r="AJ59" i="1"/>
  <c r="CI59" i="1"/>
  <c r="CX59" i="1"/>
  <c r="CT59" i="1"/>
  <c r="AO59" i="1"/>
  <c r="AA59" i="1"/>
  <c r="AW59" i="1"/>
  <c r="CS59" i="1"/>
  <c r="Q59" i="1"/>
  <c r="Z59" i="1"/>
  <c r="AP59" i="1"/>
  <c r="CO59" i="1"/>
  <c r="AR59" i="1"/>
  <c r="CP59" i="1"/>
  <c r="AM59" i="1"/>
  <c r="DA59" i="1"/>
  <c r="CE59" i="1"/>
  <c r="BK59" i="1"/>
  <c r="BC59" i="1"/>
  <c r="CY59" i="1"/>
  <c r="AT59" i="1"/>
  <c r="AN59" i="1"/>
  <c r="AX59" i="1"/>
  <c r="CV59" i="1"/>
  <c r="AY59" i="1"/>
  <c r="AL59" i="1"/>
  <c r="BH59" i="1"/>
  <c r="CF59" i="1"/>
  <c r="R59" i="1"/>
  <c r="CN59" i="1"/>
  <c r="BI59" i="1"/>
  <c r="AD59" i="1"/>
  <c r="BP59" i="1"/>
  <c r="BJ59" i="1"/>
  <c r="BE59" i="1"/>
  <c r="DC59" i="1"/>
  <c r="BM59" i="1"/>
  <c r="BG59" i="1"/>
  <c r="BW59" i="1"/>
  <c r="CL59" i="1"/>
  <c r="AV59" i="1"/>
  <c r="S59" i="1"/>
  <c r="BO59" i="1"/>
  <c r="AS59" i="1"/>
  <c r="CK59" i="1"/>
  <c r="BQ59" i="1"/>
  <c r="BL59" i="1"/>
  <c r="V59" i="1"/>
  <c r="BT59" i="1"/>
  <c r="BV59" i="1"/>
  <c r="CR59" i="1"/>
  <c r="AH59" i="1"/>
  <c r="T59" i="1"/>
  <c r="BV52" i="1"/>
  <c r="Z52" i="1"/>
  <c r="P52" i="1"/>
  <c r="AG52" i="1"/>
  <c r="CW52" i="1"/>
  <c r="AC52" i="1"/>
  <c r="BS52" i="1"/>
  <c r="CK52" i="1"/>
  <c r="AF52" i="1"/>
  <c r="AP53" i="1"/>
  <c r="CO53" i="1"/>
  <c r="S61" i="1"/>
  <c r="AK61" i="1"/>
  <c r="BU61" i="1"/>
  <c r="X61" i="1"/>
  <c r="Z61" i="1"/>
  <c r="BQ61" i="1"/>
  <c r="AR61" i="1"/>
  <c r="CI61" i="1"/>
  <c r="AL61" i="1"/>
  <c r="CC61" i="1"/>
  <c r="AT61" i="1"/>
  <c r="AN61" i="1"/>
  <c r="BK61" i="1"/>
  <c r="BS61" i="1"/>
  <c r="U61" i="1"/>
  <c r="BR61" i="1"/>
  <c r="AQ61" i="1"/>
  <c r="CA61" i="1"/>
  <c r="AM61" i="1"/>
  <c r="AU61" i="1"/>
  <c r="CT61" i="1"/>
  <c r="AY61" i="1"/>
  <c r="CP61" i="1"/>
  <c r="AS61" i="1"/>
  <c r="CJ61" i="1"/>
  <c r="BA61" i="1"/>
  <c r="BJ61" i="1"/>
  <c r="CF61" i="1"/>
  <c r="AH61" i="1"/>
  <c r="AP61" i="1"/>
  <c r="AX61" i="1"/>
  <c r="AW61" i="1"/>
  <c r="CG61" i="1"/>
  <c r="BH61" i="1"/>
  <c r="BX61" i="1"/>
  <c r="O61" i="1"/>
  <c r="BF61" i="1"/>
  <c r="CW61" i="1"/>
  <c r="AZ61" i="1"/>
  <c r="CQ61" i="1"/>
  <c r="BP61" i="1"/>
  <c r="CE61" i="1"/>
  <c r="DB61" i="1"/>
  <c r="BD61" i="1"/>
  <c r="BL61" i="1"/>
  <c r="CO61" i="1"/>
  <c r="BC61" i="1"/>
  <c r="CM61" i="1"/>
  <c r="BW61" i="1"/>
  <c r="CL61" i="1"/>
  <c r="V61" i="1"/>
  <c r="BM61" i="1"/>
  <c r="P61" i="1"/>
  <c r="BG61" i="1"/>
  <c r="CX61" i="1"/>
  <c r="CD61" i="1"/>
  <c r="DA61" i="1"/>
  <c r="AV61" i="1"/>
  <c r="CU61" i="1"/>
  <c r="CH61" i="1"/>
  <c r="BY61" i="1"/>
  <c r="Y61" i="1"/>
  <c r="BI61" i="1"/>
  <c r="CS61" i="1"/>
  <c r="CK61" i="1"/>
  <c r="AG61" i="1"/>
  <c r="AC61" i="1"/>
  <c r="BT61" i="1"/>
  <c r="W61" i="1"/>
  <c r="BN61" i="1"/>
  <c r="Q61" i="1"/>
  <c r="CR61" i="1"/>
  <c r="T61" i="1"/>
  <c r="CN61" i="1"/>
  <c r="BE61" i="1"/>
  <c r="DC61" i="1"/>
  <c r="AI61" i="1"/>
  <c r="AE61" i="1"/>
  <c r="BO61" i="1"/>
  <c r="CY61" i="1"/>
  <c r="CZ61" i="1"/>
  <c r="BB61" i="1"/>
  <c r="AJ61" i="1"/>
  <c r="CB61" i="1"/>
  <c r="AD61" i="1"/>
  <c r="BV61" i="1"/>
  <c r="AF61" i="1"/>
  <c r="R61" i="1"/>
  <c r="AO61" i="1"/>
  <c r="AB61" i="1"/>
  <c r="CV61" i="1"/>
  <c r="AA61" i="1"/>
  <c r="BZ61" i="1"/>
  <c r="AK52" i="1"/>
  <c r="BU52" i="1"/>
  <c r="Q52" i="1"/>
  <c r="BH52" i="1"/>
  <c r="CZ52" i="1"/>
  <c r="BE52" i="1"/>
  <c r="CV52" i="1"/>
  <c r="AR52" i="1"/>
  <c r="CI52" i="1"/>
  <c r="BN52" i="1"/>
  <c r="BJ52" i="1"/>
  <c r="BY52" i="1"/>
  <c r="AO52" i="1"/>
  <c r="BQ52" i="1"/>
  <c r="AD52" i="1"/>
  <c r="AQ52" i="1"/>
  <c r="CA52" i="1"/>
  <c r="X52" i="1"/>
  <c r="BP52" i="1"/>
  <c r="U52" i="1"/>
  <c r="BL52" i="1"/>
  <c r="DC52" i="1"/>
  <c r="AY52" i="1"/>
  <c r="CP52" i="1"/>
  <c r="CC52" i="1"/>
  <c r="BX52" i="1"/>
  <c r="CU52" i="1"/>
  <c r="BK52" i="1"/>
  <c r="CJ52" i="1"/>
  <c r="BB52" i="1"/>
  <c r="S52" i="1"/>
  <c r="BC52" i="1"/>
  <c r="CM52" i="1"/>
  <c r="P58" i="1"/>
  <c r="AZ58" i="1"/>
  <c r="CJ58" i="1"/>
  <c r="AK58" i="1"/>
  <c r="CB58" i="1"/>
  <c r="BO58" i="1"/>
  <c r="R58" i="1"/>
  <c r="BI58" i="1"/>
  <c r="S58" i="1"/>
  <c r="T58" i="1"/>
  <c r="BK58" i="1"/>
  <c r="DC58" i="1"/>
  <c r="BE58" i="1"/>
  <c r="CW58" i="1"/>
  <c r="CR58" i="1"/>
  <c r="BJ58" i="1"/>
  <c r="V58" i="1"/>
  <c r="BF58" i="1"/>
  <c r="CP58" i="1"/>
  <c r="AR58" i="1"/>
  <c r="CI58" i="1"/>
  <c r="CK58" i="1"/>
  <c r="Y58" i="1"/>
  <c r="BP58" i="1"/>
  <c r="Z58" i="1"/>
  <c r="AA58" i="1"/>
  <c r="BS58" i="1"/>
  <c r="U58" i="1"/>
  <c r="BM58" i="1"/>
  <c r="AD58" i="1"/>
  <c r="CT58" i="1"/>
  <c r="CZ58" i="1"/>
  <c r="AB58" i="1"/>
  <c r="BL58" i="1"/>
  <c r="CV58" i="1"/>
  <c r="AY58" i="1"/>
  <c r="CQ58" i="1"/>
  <c r="AL58" i="1"/>
  <c r="AF58" i="1"/>
  <c r="BW58" i="1"/>
  <c r="AG58" i="1"/>
  <c r="AI58" i="1"/>
  <c r="BZ58" i="1"/>
  <c r="AC58" i="1"/>
  <c r="BT58" i="1"/>
  <c r="Q58" i="1"/>
  <c r="BQ58" i="1"/>
  <c r="DA58" i="1"/>
  <c r="AH58" i="1"/>
  <c r="BR58" i="1"/>
  <c r="DB58" i="1"/>
  <c r="BG58" i="1"/>
  <c r="CX58" i="1"/>
  <c r="BH58" i="1"/>
  <c r="AM58" i="1"/>
  <c r="CE58" i="1"/>
  <c r="AO58" i="1"/>
  <c r="AP58" i="1"/>
  <c r="CG58" i="1"/>
  <c r="AJ58" i="1"/>
  <c r="CA58" i="1"/>
  <c r="AE58" i="1"/>
  <c r="BY58" i="1"/>
  <c r="AN58" i="1"/>
  <c r="BX58" i="1"/>
  <c r="O58" i="1"/>
  <c r="BN58" i="1"/>
  <c r="X58" i="1"/>
  <c r="CC58" i="1"/>
  <c r="AU58" i="1"/>
  <c r="CL58" i="1"/>
  <c r="AV58" i="1"/>
  <c r="AW58" i="1"/>
  <c r="CN58" i="1"/>
  <c r="AQ58" i="1"/>
  <c r="CH58" i="1"/>
  <c r="BA58" i="1"/>
  <c r="CF58" i="1"/>
  <c r="AT58" i="1"/>
  <c r="CD58" i="1"/>
  <c r="W58" i="1"/>
  <c r="BU58" i="1"/>
  <c r="AS58" i="1"/>
  <c r="CY58" i="1"/>
  <c r="BB58" i="1"/>
  <c r="CS58" i="1"/>
  <c r="BC58" i="1"/>
  <c r="BD58" i="1"/>
  <c r="CU58" i="1"/>
  <c r="AX58" i="1"/>
  <c r="CO58" i="1"/>
  <c r="BV58" i="1"/>
  <c r="CM58" i="1"/>
  <c r="T56" i="1"/>
  <c r="BD56" i="1"/>
  <c r="CN56" i="1"/>
  <c r="AN56" i="1"/>
  <c r="CE56" i="1"/>
  <c r="AM56" i="1"/>
  <c r="CM56" i="1"/>
  <c r="CW56" i="1"/>
  <c r="AH56" i="1"/>
  <c r="CG56" i="1"/>
  <c r="AQ56" i="1"/>
  <c r="CQ56" i="1"/>
  <c r="BA56" i="1"/>
  <c r="DB56" i="1"/>
  <c r="BL56" i="1"/>
  <c r="W56" i="1"/>
  <c r="Z56" i="1"/>
  <c r="BJ56" i="1"/>
  <c r="CT56" i="1"/>
  <c r="AU56" i="1"/>
  <c r="CL56" i="1"/>
  <c r="AV56" i="1"/>
  <c r="CV56" i="1"/>
  <c r="AE56" i="1"/>
  <c r="AP56" i="1"/>
  <c r="CP56" i="1"/>
  <c r="AZ56" i="1"/>
  <c r="CY56" i="1"/>
  <c r="BK56" i="1"/>
  <c r="U56" i="1"/>
  <c r="BT56" i="1"/>
  <c r="AW56" i="1"/>
  <c r="AF56" i="1"/>
  <c r="BP56" i="1"/>
  <c r="CZ56" i="1"/>
  <c r="AL56" i="1"/>
  <c r="BV56" i="1"/>
  <c r="R56" i="1"/>
  <c r="BI56" i="1"/>
  <c r="DA56" i="1"/>
  <c r="BM56" i="1"/>
  <c r="AO56" i="1"/>
  <c r="AR56" i="1"/>
  <c r="CB56" i="1"/>
  <c r="Y56" i="1"/>
  <c r="V56" i="1"/>
  <c r="BN56" i="1"/>
  <c r="AY56" i="1"/>
  <c r="AA56" i="1"/>
  <c r="S56" i="1"/>
  <c r="CJ56" i="1"/>
  <c r="CC56" i="1"/>
  <c r="AG56" i="1"/>
  <c r="AD56" i="1"/>
  <c r="BW56" i="1"/>
  <c r="BG56" i="1"/>
  <c r="AI56" i="1"/>
  <c r="AB56" i="1"/>
  <c r="CR56" i="1"/>
  <c r="CK56" i="1"/>
  <c r="BB56" i="1"/>
  <c r="BE56" i="1"/>
  <c r="BF56" i="1"/>
  <c r="BO56" i="1"/>
  <c r="BH56" i="1"/>
  <c r="AJ56" i="1"/>
  <c r="AC56" i="1"/>
  <c r="CU56" i="1"/>
  <c r="BQ56" i="1"/>
  <c r="BU56" i="1"/>
  <c r="CO56" i="1"/>
  <c r="BY56" i="1"/>
  <c r="BR56" i="1"/>
  <c r="AS56" i="1"/>
  <c r="AK56" i="1"/>
  <c r="DC56" i="1"/>
  <c r="AX56" i="1"/>
  <c r="BX56" i="1"/>
  <c r="CD56" i="1"/>
  <c r="P56" i="1"/>
  <c r="CX56" i="1"/>
  <c r="BZ56" i="1"/>
  <c r="BS56" i="1"/>
  <c r="AT56" i="1"/>
  <c r="CF56" i="1"/>
  <c r="CH56" i="1"/>
  <c r="CS56" i="1"/>
  <c r="O56" i="1"/>
  <c r="X56" i="1"/>
  <c r="Q56" i="1"/>
  <c r="CI56" i="1"/>
  <c r="CA56" i="1"/>
  <c r="BC56" i="1"/>
  <c r="CN52" i="1"/>
  <c r="DB52" i="1"/>
  <c r="BD52" i="1"/>
  <c r="R52" i="1"/>
  <c r="CB52" i="1"/>
  <c r="V52" i="1"/>
  <c r="AX52" i="1"/>
  <c r="CD52" i="1"/>
  <c r="CY52" i="1"/>
  <c r="AE52" i="1"/>
  <c r="AL53" i="1"/>
  <c r="BE53" i="1"/>
  <c r="P60" i="1"/>
  <c r="AZ60" i="1"/>
  <c r="CJ60" i="1"/>
  <c r="BA60" i="1"/>
  <c r="BB60" i="1"/>
  <c r="U60" i="1"/>
  <c r="BM60" i="1"/>
  <c r="O60" i="1"/>
  <c r="BG60" i="1"/>
  <c r="CX60" i="1"/>
  <c r="CK60" i="1"/>
  <c r="CS60" i="1"/>
  <c r="CT60" i="1"/>
  <c r="BK60" i="1"/>
  <c r="AG60" i="1"/>
  <c r="DA60" i="1"/>
  <c r="V60" i="1"/>
  <c r="BF60" i="1"/>
  <c r="CP60" i="1"/>
  <c r="BO60" i="1"/>
  <c r="BW60" i="1"/>
  <c r="AC60" i="1"/>
  <c r="BT60" i="1"/>
  <c r="W60" i="1"/>
  <c r="BN60" i="1"/>
  <c r="Q60" i="1"/>
  <c r="CR60" i="1"/>
  <c r="Z60" i="1"/>
  <c r="AI60" i="1"/>
  <c r="DC60" i="1"/>
  <c r="BY60" i="1"/>
  <c r="AP60" i="1"/>
  <c r="AB60" i="1"/>
  <c r="BL60" i="1"/>
  <c r="CV60" i="1"/>
  <c r="CC60" i="1"/>
  <c r="CL60" i="1"/>
  <c r="AJ60" i="1"/>
  <c r="CA60" i="1"/>
  <c r="AD60" i="1"/>
  <c r="BU60" i="1"/>
  <c r="AE60" i="1"/>
  <c r="Y60" i="1"/>
  <c r="AV60" i="1"/>
  <c r="BZ60" i="1"/>
  <c r="AA60" i="1"/>
  <c r="BD60" i="1"/>
  <c r="CG60" i="1"/>
  <c r="AH60" i="1"/>
  <c r="BR60" i="1"/>
  <c r="DB60" i="1"/>
  <c r="CY60" i="1"/>
  <c r="AU60" i="1"/>
  <c r="AQ60" i="1"/>
  <c r="CH60" i="1"/>
  <c r="AK60" i="1"/>
  <c r="CB60" i="1"/>
  <c r="AS60" i="1"/>
  <c r="AM60" i="1"/>
  <c r="BQ60" i="1"/>
  <c r="AO60" i="1"/>
  <c r="AW60" i="1"/>
  <c r="CU60" i="1"/>
  <c r="AN60" i="1"/>
  <c r="BX60" i="1"/>
  <c r="X60" i="1"/>
  <c r="R60" i="1"/>
  <c r="BP60" i="1"/>
  <c r="AX60" i="1"/>
  <c r="CO60" i="1"/>
  <c r="AR60" i="1"/>
  <c r="CI60" i="1"/>
  <c r="BH60" i="1"/>
  <c r="BI60" i="1"/>
  <c r="CM60" i="1"/>
  <c r="CF60" i="1"/>
  <c r="BS60" i="1"/>
  <c r="S60" i="1"/>
  <c r="AT60" i="1"/>
  <c r="CD60" i="1"/>
  <c r="AL60" i="1"/>
  <c r="AF60" i="1"/>
  <c r="CZ60" i="1"/>
  <c r="BE60" i="1"/>
  <c r="CW60" i="1"/>
  <c r="AY60" i="1"/>
  <c r="CQ60" i="1"/>
  <c r="BV60" i="1"/>
  <c r="CE60" i="1"/>
  <c r="BC60" i="1"/>
  <c r="T60" i="1"/>
  <c r="CN60" i="1"/>
  <c r="BJ60" i="1"/>
  <c r="BR52" i="1"/>
  <c r="CF52" i="1"/>
  <c r="AH52" i="1"/>
  <c r="CQ52" i="1"/>
  <c r="BT52" i="1"/>
  <c r="O52" i="1"/>
  <c r="AP52" i="1"/>
  <c r="BW52" i="1"/>
  <c r="CS52" i="1"/>
  <c r="Y52" i="1"/>
  <c r="CJ53" i="1"/>
  <c r="O53" i="1"/>
  <c r="CS46" i="1"/>
  <c r="Y46" i="1"/>
  <c r="AH46" i="1"/>
  <c r="AI46" i="1"/>
  <c r="BE46" i="1"/>
  <c r="CJ46" i="1"/>
  <c r="CM46" i="1"/>
  <c r="CU46" i="1"/>
  <c r="CG46" i="1"/>
  <c r="BK46" i="1"/>
  <c r="AX46" i="1"/>
  <c r="W46" i="1"/>
  <c r="S46" i="1"/>
  <c r="CH46" i="1"/>
  <c r="AN46" i="1"/>
  <c r="T46" i="1"/>
  <c r="CI46" i="1"/>
  <c r="AS46" i="1"/>
  <c r="AO46" i="1"/>
  <c r="AU46" i="1"/>
  <c r="CD46" i="1"/>
  <c r="AW46" i="1"/>
  <c r="BR46" i="1"/>
  <c r="BT46" i="1"/>
  <c r="AF46" i="1"/>
  <c r="CY46" i="1"/>
  <c r="AV46" i="1"/>
  <c r="CE46" i="1"/>
  <c r="DC46" i="1"/>
  <c r="CX46" i="1"/>
  <c r="BI46" i="1"/>
  <c r="BV46" i="1"/>
  <c r="CB46" i="1"/>
  <c r="AR46" i="1"/>
  <c r="AJ46" i="1"/>
  <c r="BD46" i="1"/>
  <c r="CO46" i="1"/>
  <c r="AQ46" i="1"/>
  <c r="V46" i="1"/>
  <c r="BN46" i="1"/>
  <c r="CF46" i="1"/>
  <c r="AP46" i="1"/>
  <c r="P46" i="1"/>
  <c r="AG46" i="1"/>
  <c r="BU46" i="1"/>
  <c r="O46" i="1"/>
  <c r="CC46" i="1"/>
  <c r="BF46" i="1"/>
  <c r="CP46" i="1"/>
  <c r="CQ46" i="1"/>
  <c r="BY46" i="1"/>
  <c r="AE46" i="1"/>
  <c r="CZ46" i="1"/>
  <c r="BW46" i="1"/>
  <c r="BG46" i="1"/>
  <c r="BA46" i="1"/>
  <c r="BH46" i="1"/>
  <c r="AZ46" i="1"/>
  <c r="X46" i="1"/>
  <c r="BL46" i="1"/>
  <c r="AC46" i="1"/>
  <c r="AT46" i="1"/>
  <c r="AM46" i="1"/>
  <c r="AK46" i="1"/>
  <c r="CR46" i="1"/>
  <c r="BS46" i="1"/>
  <c r="DB46" i="1"/>
  <c r="CV46" i="1"/>
  <c r="CN46" i="1"/>
  <c r="CL46" i="1"/>
  <c r="DA46" i="1"/>
  <c r="U46" i="1"/>
  <c r="CA46" i="1"/>
  <c r="BP46" i="1"/>
  <c r="BB46" i="1"/>
  <c r="AA46" i="1"/>
  <c r="AY46" i="1"/>
  <c r="AL46" i="1"/>
  <c r="CT46" i="1"/>
  <c r="BM46" i="1"/>
  <c r="R46" i="1"/>
  <c r="Q46" i="1"/>
  <c r="CW46" i="1"/>
  <c r="BQ46" i="1"/>
  <c r="BC46" i="1"/>
  <c r="CK46" i="1"/>
  <c r="BO46" i="1"/>
  <c r="BZ46" i="1"/>
  <c r="BX46" i="1"/>
  <c r="Z46" i="1"/>
  <c r="BJ46" i="1"/>
  <c r="AD46" i="1"/>
  <c r="AB46" i="1"/>
  <c r="M47" i="1"/>
  <c r="U47" i="1" l="1"/>
  <c r="CM47" i="1"/>
  <c r="BW47" i="1"/>
  <c r="CY47" i="1"/>
  <c r="AJ47" i="1"/>
  <c r="AZ47" i="1"/>
  <c r="BP47" i="1"/>
  <c r="CA47" i="1"/>
  <c r="CP47" i="1"/>
  <c r="BU47" i="1"/>
  <c r="BK47" i="1"/>
  <c r="AC47" i="1"/>
  <c r="BA47" i="1"/>
  <c r="CR47" i="1"/>
  <c r="CG47" i="1"/>
  <c r="BZ47" i="1"/>
  <c r="AK47" i="1"/>
  <c r="AH47" i="1"/>
  <c r="BI47" i="1"/>
  <c r="AF47" i="1"/>
  <c r="X47" i="1"/>
  <c r="AL47" i="1"/>
  <c r="BB47" i="1"/>
  <c r="BJ47" i="1"/>
  <c r="CC47" i="1"/>
  <c r="BT47" i="1"/>
  <c r="AE47" i="1"/>
  <c r="CQ47" i="1"/>
  <c r="BS47" i="1"/>
  <c r="AI47" i="1"/>
  <c r="BN47" i="1"/>
  <c r="Y47" i="1"/>
  <c r="AM47" i="1"/>
  <c r="CD47" i="1"/>
  <c r="BG47" i="1"/>
  <c r="Z47" i="1"/>
  <c r="BF47" i="1"/>
  <c r="AB47" i="1"/>
  <c r="BO47" i="1"/>
  <c r="AD47" i="1"/>
  <c r="P47" i="1"/>
  <c r="CJ47" i="1"/>
  <c r="T47" i="1"/>
  <c r="BV47" i="1"/>
  <c r="DA47" i="1"/>
  <c r="CB47" i="1"/>
  <c r="W47" i="1"/>
  <c r="DB47" i="1"/>
  <c r="AN47" i="1"/>
  <c r="BE47" i="1"/>
  <c r="AU47" i="1"/>
  <c r="AA47" i="1"/>
  <c r="CV47" i="1"/>
  <c r="BL47" i="1"/>
  <c r="CF47" i="1"/>
  <c r="AY47" i="1"/>
  <c r="CT47" i="1"/>
  <c r="BM47" i="1"/>
  <c r="AR47" i="1"/>
  <c r="BY47" i="1"/>
  <c r="AG47" i="1"/>
  <c r="BQ47" i="1"/>
  <c r="DC47" i="1"/>
  <c r="AP47" i="1"/>
  <c r="CU47" i="1"/>
  <c r="Q47" i="1"/>
  <c r="BR47" i="1"/>
  <c r="CH47" i="1"/>
  <c r="O47" i="1"/>
  <c r="BD47" i="1"/>
  <c r="R47" i="1"/>
  <c r="V47" i="1"/>
  <c r="CK47" i="1"/>
  <c r="CL47" i="1"/>
  <c r="BC47" i="1"/>
  <c r="CX47" i="1"/>
  <c r="AQ47" i="1"/>
  <c r="CZ47" i="1"/>
  <c r="CE47" i="1"/>
  <c r="AT47" i="1"/>
  <c r="AO47" i="1"/>
  <c r="CW47" i="1"/>
  <c r="BX47" i="1"/>
  <c r="AS47" i="1"/>
  <c r="AV47" i="1"/>
  <c r="CS47" i="1"/>
  <c r="AX47" i="1"/>
  <c r="BH47" i="1"/>
  <c r="CI47" i="1"/>
  <c r="AW47" i="1"/>
  <c r="CN47" i="1"/>
  <c r="CO47" i="1"/>
  <c r="S47" i="1"/>
  <c r="M48" i="1" l="1"/>
  <c r="Z48" i="1" l="1"/>
  <c r="AO48" i="1"/>
  <c r="CH48" i="1"/>
  <c r="BT48" i="1"/>
  <c r="CY48" i="1"/>
  <c r="AS48" i="1"/>
  <c r="AN48" i="1"/>
  <c r="CR48" i="1"/>
  <c r="BJ48" i="1"/>
  <c r="Y48" i="1"/>
  <c r="AV48" i="1"/>
  <c r="AL48" i="1"/>
  <c r="AY48" i="1"/>
  <c r="BQ48" i="1"/>
  <c r="AI48" i="1"/>
  <c r="CB48" i="1"/>
  <c r="O48" i="1"/>
  <c r="AX48" i="1"/>
  <c r="X48" i="1"/>
  <c r="CD48" i="1"/>
  <c r="BF48" i="1"/>
  <c r="BI48" i="1"/>
  <c r="BO48" i="1"/>
  <c r="CV48" i="1"/>
  <c r="BM48" i="1"/>
  <c r="CI48" i="1"/>
  <c r="BL48" i="1"/>
  <c r="AP48" i="1"/>
  <c r="CF48" i="1"/>
  <c r="AC48" i="1"/>
  <c r="AE48" i="1"/>
  <c r="AT48" i="1"/>
  <c r="AH48" i="1"/>
  <c r="BE48" i="1"/>
  <c r="CS48" i="1"/>
  <c r="AU48" i="1"/>
  <c r="CU48" i="1"/>
  <c r="R48" i="1"/>
  <c r="CL48" i="1"/>
  <c r="BZ48" i="1"/>
  <c r="CN48" i="1"/>
  <c r="AM48" i="1"/>
  <c r="BX48" i="1"/>
  <c r="AQ48" i="1"/>
  <c r="BP48" i="1"/>
  <c r="AZ48" i="1"/>
  <c r="BK48" i="1"/>
  <c r="CK48" i="1"/>
  <c r="CJ48" i="1"/>
  <c r="AJ48" i="1"/>
  <c r="BN48" i="1"/>
  <c r="BC48" i="1"/>
  <c r="AD48" i="1"/>
  <c r="P48" i="1"/>
  <c r="AG48" i="1"/>
  <c r="CW48" i="1"/>
  <c r="DB48" i="1"/>
  <c r="CE48" i="1"/>
  <c r="AW48" i="1"/>
  <c r="CQ48" i="1"/>
  <c r="CG48" i="1"/>
  <c r="BR48" i="1"/>
  <c r="AF48" i="1"/>
  <c r="CC48" i="1"/>
  <c r="BA48" i="1"/>
  <c r="AB48" i="1"/>
  <c r="V48" i="1"/>
  <c r="CM48" i="1"/>
  <c r="BH48" i="1"/>
  <c r="AA48" i="1"/>
  <c r="BY48" i="1"/>
  <c r="BW48" i="1"/>
  <c r="DC48" i="1"/>
  <c r="T48" i="1"/>
  <c r="BB48" i="1"/>
  <c r="CT48" i="1"/>
  <c r="U48" i="1"/>
  <c r="AK48" i="1"/>
  <c r="Q48" i="1"/>
  <c r="BU48" i="1"/>
  <c r="BV48" i="1"/>
  <c r="CX48" i="1"/>
  <c r="BG48" i="1"/>
  <c r="W48" i="1"/>
  <c r="CZ48" i="1"/>
  <c r="DA48" i="1"/>
  <c r="CP48" i="1"/>
  <c r="BD48" i="1"/>
  <c r="BS48" i="1"/>
  <c r="CA48" i="1"/>
  <c r="CO48" i="1"/>
  <c r="AR48" i="1"/>
  <c r="S48" i="1"/>
  <c r="M49" i="1" l="1"/>
  <c r="CW49" i="1" l="1"/>
  <c r="R49" i="1"/>
  <c r="BC49" i="1"/>
  <c r="CP49" i="1"/>
  <c r="AB49" i="1"/>
  <c r="CB49" i="1"/>
  <c r="CI49" i="1"/>
  <c r="X49" i="1"/>
  <c r="BV49" i="1"/>
  <c r="AI49" i="1"/>
  <c r="AQ49" i="1"/>
  <c r="CE49" i="1"/>
  <c r="CM49" i="1"/>
  <c r="BU49" i="1"/>
  <c r="BH49" i="1"/>
  <c r="CC49" i="1"/>
  <c r="CJ49" i="1"/>
  <c r="AY49" i="1"/>
  <c r="BN49" i="1"/>
  <c r="AZ49" i="1"/>
  <c r="AD49" i="1"/>
  <c r="AM49" i="1"/>
  <c r="DC49" i="1"/>
  <c r="CT49" i="1"/>
  <c r="DB49" i="1"/>
  <c r="BA49" i="1"/>
  <c r="CD49" i="1"/>
  <c r="BS49" i="1"/>
  <c r="BB49" i="1"/>
  <c r="CH49" i="1"/>
  <c r="BG49" i="1"/>
  <c r="BK49" i="1"/>
  <c r="CA49" i="1"/>
  <c r="BP49" i="1"/>
  <c r="BW49" i="1"/>
  <c r="CG49" i="1"/>
  <c r="CK49" i="1"/>
  <c r="AA49" i="1"/>
  <c r="BQ49" i="1"/>
  <c r="AE49" i="1"/>
  <c r="AW49" i="1"/>
  <c r="CS49" i="1"/>
  <c r="AH49" i="1"/>
  <c r="S49" i="1"/>
  <c r="AX49" i="1"/>
  <c r="T49" i="1"/>
  <c r="Z49" i="1"/>
  <c r="AT49" i="1"/>
  <c r="AG49" i="1"/>
  <c r="P49" i="1"/>
  <c r="BY49" i="1"/>
  <c r="BI49" i="1"/>
  <c r="O49" i="1"/>
  <c r="BD49" i="1"/>
  <c r="BF49" i="1"/>
  <c r="BX49" i="1"/>
  <c r="CU49" i="1"/>
  <c r="AS49" i="1"/>
  <c r="W49" i="1"/>
  <c r="DA49" i="1"/>
  <c r="AL49" i="1"/>
  <c r="Q49" i="1"/>
  <c r="BO49" i="1"/>
  <c r="CQ49" i="1"/>
  <c r="CX49" i="1"/>
  <c r="CY49" i="1"/>
  <c r="AK49" i="1"/>
  <c r="CL49" i="1"/>
  <c r="BJ49" i="1"/>
  <c r="CR49" i="1"/>
  <c r="AP49" i="1"/>
  <c r="AC49" i="1"/>
  <c r="AJ49" i="1"/>
  <c r="U49" i="1"/>
  <c r="BM49" i="1"/>
  <c r="BR49" i="1"/>
  <c r="CZ49" i="1"/>
  <c r="BL49" i="1"/>
  <c r="BE49" i="1"/>
  <c r="CO49" i="1"/>
  <c r="BZ49" i="1"/>
  <c r="CN49" i="1"/>
  <c r="AU49" i="1"/>
  <c r="CV49" i="1"/>
  <c r="BT49" i="1"/>
  <c r="AF49" i="1"/>
  <c r="AV49" i="1"/>
  <c r="AR49" i="1"/>
  <c r="V49" i="1"/>
  <c r="AO49" i="1"/>
  <c r="Y49" i="1"/>
  <c r="CF49" i="1"/>
  <c r="AN49" i="1"/>
  <c r="M50" i="1" l="1"/>
  <c r="CH50" i="1" l="1"/>
  <c r="Y50" i="1"/>
  <c r="AE50" i="1"/>
  <c r="W50" i="1"/>
  <c r="BD50" i="1"/>
  <c r="AH50" i="1"/>
  <c r="BA50" i="1"/>
  <c r="CS50" i="1"/>
  <c r="V50" i="1"/>
  <c r="T50" i="1"/>
  <c r="AD50" i="1"/>
  <c r="CR50" i="1"/>
  <c r="Q50" i="1"/>
  <c r="AT50" i="1"/>
  <c r="BY50" i="1"/>
  <c r="DB50" i="1"/>
  <c r="AG50" i="1"/>
  <c r="CK50" i="1"/>
  <c r="CD50" i="1"/>
  <c r="CF50" i="1"/>
  <c r="AF50" i="1"/>
  <c r="AA50" i="1"/>
  <c r="AW50" i="1"/>
  <c r="AC50" i="1"/>
  <c r="CA50" i="1"/>
  <c r="BQ50" i="1"/>
  <c r="DC50" i="1"/>
  <c r="BH50" i="1"/>
  <c r="CO50" i="1"/>
  <c r="BZ50" i="1"/>
  <c r="AP50" i="1"/>
  <c r="AR50" i="1"/>
  <c r="CN50" i="1"/>
  <c r="CP50" i="1"/>
  <c r="AK50" i="1"/>
  <c r="BE50" i="1"/>
  <c r="BU50" i="1"/>
  <c r="BI50" i="1"/>
  <c r="BO50" i="1"/>
  <c r="BG50" i="1"/>
  <c r="BL50" i="1"/>
  <c r="AO50" i="1"/>
  <c r="AJ50" i="1"/>
  <c r="CM50" i="1"/>
  <c r="DA50" i="1"/>
  <c r="CL50" i="1"/>
  <c r="BW50" i="1"/>
  <c r="BN50" i="1"/>
  <c r="AZ50" i="1"/>
  <c r="CG50" i="1"/>
  <c r="CC50" i="1"/>
  <c r="X50" i="1"/>
  <c r="S50" i="1"/>
  <c r="BT50" i="1"/>
  <c r="CV50" i="1"/>
  <c r="AN50" i="1"/>
  <c r="BM50" i="1"/>
  <c r="CZ50" i="1"/>
  <c r="AY50" i="1"/>
  <c r="R50" i="1"/>
  <c r="CI50" i="1"/>
  <c r="BP50" i="1"/>
  <c r="BX50" i="1"/>
  <c r="AV50" i="1"/>
  <c r="Z50" i="1"/>
  <c r="AB50" i="1"/>
  <c r="CQ50" i="1"/>
  <c r="BS50" i="1"/>
  <c r="AI50" i="1"/>
  <c r="BC50" i="1"/>
  <c r="BJ50" i="1"/>
  <c r="BF50" i="1"/>
  <c r="CT50" i="1"/>
  <c r="CY50" i="1"/>
  <c r="CX50" i="1"/>
  <c r="AL50" i="1"/>
  <c r="O50" i="1"/>
  <c r="CW50" i="1"/>
  <c r="BK50" i="1"/>
  <c r="CB50" i="1"/>
  <c r="AM50" i="1"/>
  <c r="AX50" i="1"/>
  <c r="AU50" i="1"/>
  <c r="BR50" i="1"/>
  <c r="CJ50" i="1"/>
  <c r="P50" i="1"/>
  <c r="CE50" i="1"/>
  <c r="AS50" i="1"/>
  <c r="BV50" i="1"/>
  <c r="BB50" i="1"/>
  <c r="U50" i="1"/>
  <c r="CU50" i="1"/>
  <c r="AQ50" i="1"/>
  <c r="M51" i="1" l="1"/>
  <c r="BQ51" i="1"/>
  <c r="CW51" i="1" l="1"/>
  <c r="V51" i="1"/>
  <c r="AI51" i="1"/>
  <c r="Z51" i="1"/>
  <c r="BC51" i="1"/>
  <c r="BD51" i="1"/>
  <c r="AE51" i="1"/>
  <c r="AY51" i="1"/>
  <c r="AT51" i="1"/>
  <c r="BF51" i="1"/>
  <c r="AQ51" i="1"/>
  <c r="BT51" i="1"/>
  <c r="CL51" i="1"/>
  <c r="CF51" i="1"/>
  <c r="O51" i="1"/>
  <c r="Y51" i="1"/>
  <c r="AS51" i="1"/>
  <c r="BP51" i="1"/>
  <c r="U51" i="1"/>
  <c r="DB51" i="1"/>
  <c r="CQ51" i="1"/>
  <c r="BX51" i="1"/>
  <c r="CV51" i="1"/>
  <c r="AV51" i="1"/>
  <c r="CS51" i="1"/>
  <c r="BZ51" i="1"/>
  <c r="AJ51" i="1"/>
  <c r="AH51" i="1"/>
  <c r="BO51" i="1"/>
  <c r="BM51" i="1"/>
  <c r="DA51" i="1"/>
  <c r="BK51" i="1"/>
  <c r="Q51" i="1"/>
  <c r="AO51" i="1"/>
  <c r="W51" i="1"/>
  <c r="AD51" i="1"/>
  <c r="CI51" i="1"/>
  <c r="AX51" i="1"/>
  <c r="CR51" i="1"/>
  <c r="CU51" i="1"/>
  <c r="CH51" i="1"/>
  <c r="BV51" i="1"/>
  <c r="BW51" i="1"/>
  <c r="DC51" i="1"/>
  <c r="AB51" i="1"/>
  <c r="CO51" i="1"/>
  <c r="AF51" i="1"/>
  <c r="CT51" i="1"/>
  <c r="BA51" i="1"/>
  <c r="CB51" i="1"/>
  <c r="CA51" i="1"/>
  <c r="CD51" i="1"/>
  <c r="S51" i="1"/>
  <c r="BH51" i="1"/>
  <c r="BY51" i="1"/>
  <c r="AW51" i="1"/>
  <c r="CE51" i="1"/>
  <c r="AU51" i="1"/>
  <c r="T51" i="1"/>
  <c r="AM51" i="1"/>
  <c r="BS51" i="1"/>
  <c r="AN51" i="1"/>
  <c r="AR51" i="1"/>
  <c r="AA51" i="1"/>
  <c r="AK51" i="1"/>
  <c r="BN51" i="1"/>
  <c r="BE51" i="1"/>
  <c r="BR51" i="1"/>
  <c r="CZ51" i="1"/>
  <c r="BU51" i="1"/>
  <c r="CG51" i="1"/>
  <c r="CJ51" i="1"/>
  <c r="BJ51" i="1"/>
  <c r="AL51" i="1"/>
  <c r="AG51" i="1"/>
  <c r="CK51" i="1"/>
  <c r="P51" i="1"/>
  <c r="BG51" i="1"/>
  <c r="AC51" i="1"/>
  <c r="X51" i="1"/>
  <c r="R51" i="1"/>
  <c r="CX51" i="1"/>
  <c r="CY51" i="1"/>
  <c r="BL51" i="1"/>
  <c r="CM51" i="1"/>
  <c r="CN51" i="1"/>
  <c r="CC51" i="1"/>
  <c r="BI51" i="1"/>
  <c r="AP51" i="1"/>
  <c r="AZ51" i="1"/>
  <c r="BB51" i="1"/>
  <c r="CP51" i="1"/>
</calcChain>
</file>

<file path=xl/sharedStrings.xml><?xml version="1.0" encoding="utf-8"?>
<sst xmlns="http://schemas.openxmlformats.org/spreadsheetml/2006/main" count="297" uniqueCount="128">
  <si>
    <t>N°</t>
  </si>
  <si>
    <t>Fecha de finalización</t>
  </si>
  <si>
    <t>Estatus</t>
  </si>
  <si>
    <t>Completado</t>
  </si>
  <si>
    <t>Retrasado</t>
  </si>
  <si>
    <t>En progreso</t>
  </si>
  <si>
    <t>Total días de retraso</t>
  </si>
  <si>
    <t>Total días ganados</t>
  </si>
  <si>
    <t>Responsable</t>
  </si>
  <si>
    <t>No comenzado</t>
  </si>
  <si>
    <t>Días de retraso vs días ganados</t>
  </si>
  <si>
    <t>Fecha de reporte</t>
  </si>
  <si>
    <t>Días planeados</t>
  </si>
  <si>
    <t>Días transcurridos</t>
  </si>
  <si>
    <t>Comienzo</t>
  </si>
  <si>
    <t>Fin</t>
  </si>
  <si>
    <t>No Aplica</t>
  </si>
  <si>
    <t xml:space="preserve">Etapa </t>
  </si>
  <si>
    <t>Días</t>
  </si>
  <si>
    <t>Días faltantes</t>
  </si>
  <si>
    <t>Ganados</t>
  </si>
  <si>
    <t>Perdidos</t>
  </si>
  <si>
    <t>Instrucciones de uso</t>
  </si>
  <si>
    <t>¿Qué datos completar?</t>
  </si>
  <si>
    <t>Resultados:</t>
  </si>
  <si>
    <r>
      <t>En hoja "</t>
    </r>
    <r>
      <rPr>
        <b/>
        <sz val="12"/>
        <color theme="9"/>
        <rFont val="Calibri Light"/>
        <family val="2"/>
      </rPr>
      <t>Información del proyecto</t>
    </r>
    <r>
      <rPr>
        <sz val="12"/>
        <rFont val="Calibri Light"/>
        <family val="2"/>
      </rPr>
      <t>" completar:</t>
    </r>
  </si>
  <si>
    <r>
      <t xml:space="preserve">1.-En la </t>
    </r>
    <r>
      <rPr>
        <sz val="12"/>
        <color rgb="FFFF0000"/>
        <rFont val="Calibri Light"/>
        <family val="2"/>
      </rPr>
      <t xml:space="preserve">celda D3 </t>
    </r>
    <r>
      <rPr>
        <sz val="12"/>
        <rFont val="Calibri Light"/>
        <family val="2"/>
      </rPr>
      <t>el nombre del proyecto</t>
    </r>
  </si>
  <si>
    <r>
      <t xml:space="preserve">2.-En la </t>
    </r>
    <r>
      <rPr>
        <sz val="12"/>
        <color rgb="FFFF0000"/>
        <rFont val="Calibri Light"/>
        <family val="2"/>
      </rPr>
      <t xml:space="preserve">celda D4 </t>
    </r>
    <r>
      <rPr>
        <sz val="12"/>
        <rFont val="Calibri Light"/>
        <family val="2"/>
      </rPr>
      <t xml:space="preserve"> la fecha de inicio del proyecto</t>
    </r>
  </si>
  <si>
    <r>
      <t xml:space="preserve">3.-En la </t>
    </r>
    <r>
      <rPr>
        <sz val="12"/>
        <color rgb="FFFF0000"/>
        <rFont val="Calibri Light"/>
        <family val="2"/>
      </rPr>
      <t xml:space="preserve">celda D5 </t>
    </r>
    <r>
      <rPr>
        <sz val="12"/>
        <color theme="1"/>
        <rFont val="Calibri Light"/>
        <family val="2"/>
      </rPr>
      <t xml:space="preserve">días planeados de trabajo: por ejemplo 50 días </t>
    </r>
  </si>
  <si>
    <t>En la tabla de abajo completar</t>
  </si>
  <si>
    <r>
      <t xml:space="preserve">5.- </t>
    </r>
    <r>
      <rPr>
        <sz val="12"/>
        <color rgb="FFFF0000"/>
        <rFont val="Calibri Light"/>
        <family val="2"/>
      </rPr>
      <t>Columna D</t>
    </r>
    <r>
      <rPr>
        <sz val="12"/>
        <rFont val="Calibri Light"/>
        <family val="2"/>
      </rPr>
      <t xml:space="preserve"> "</t>
    </r>
    <r>
      <rPr>
        <sz val="12"/>
        <color rgb="FFFF0000"/>
        <rFont val="Calibri Light"/>
        <family val="2"/>
      </rPr>
      <t>Duración"</t>
    </r>
    <r>
      <rPr>
        <sz val="12"/>
        <rFont val="Calibri Light"/>
        <family val="2"/>
      </rPr>
      <t>: Cantidad de días que durará esa etapa, por ejemplo 2 días.</t>
    </r>
  </si>
  <si>
    <t>Tarea dependiente</t>
  </si>
  <si>
    <t>Días de dependencia</t>
  </si>
  <si>
    <r>
      <t xml:space="preserve">8.- </t>
    </r>
    <r>
      <rPr>
        <sz val="12"/>
        <color rgb="FFFF0000"/>
        <rFont val="Calibri Light"/>
        <family val="2"/>
      </rPr>
      <t>Columna G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"Días de Dependencia"</t>
    </r>
    <r>
      <rPr>
        <sz val="12"/>
        <rFont val="Calibri Light"/>
        <family val="2"/>
      </rPr>
      <t xml:space="preserve">: ingresar cuántos días después de la fase de la que depende, comienza. Por ejemplo, si la etapa 3 </t>
    </r>
  </si>
  <si>
    <r>
      <t xml:space="preserve">10.- </t>
    </r>
    <r>
      <rPr>
        <sz val="12"/>
        <color rgb="FFFF0000"/>
        <rFont val="Calibri Light"/>
        <family val="2"/>
      </rPr>
      <t>Columna I "Estatus"</t>
    </r>
    <r>
      <rPr>
        <sz val="12"/>
        <rFont val="Calibri Light"/>
        <family val="2"/>
      </rPr>
      <t>: Elegir en que estado está la etapa.</t>
    </r>
  </si>
  <si>
    <r>
      <t xml:space="preserve">4.- </t>
    </r>
    <r>
      <rPr>
        <sz val="12"/>
        <color rgb="FFFF0000"/>
        <rFont val="Calibri Light"/>
        <family val="2"/>
      </rPr>
      <t>Columna C</t>
    </r>
    <r>
      <rPr>
        <sz val="12"/>
        <rFont val="Calibri Light"/>
        <family val="2"/>
      </rPr>
      <t xml:space="preserve"> "</t>
    </r>
    <r>
      <rPr>
        <sz val="12"/>
        <color rgb="FFFF0000"/>
        <rFont val="Calibri Light"/>
        <family val="2"/>
      </rPr>
      <t>Descripción de la etapa"</t>
    </r>
    <r>
      <rPr>
        <sz val="12"/>
        <rFont val="Calibri Light"/>
        <family val="2"/>
      </rPr>
      <t>: Por ejemplo reunión inicial o Recolección de datos.</t>
    </r>
  </si>
  <si>
    <t>O bien la etapa 5 depende de la 3. La etapa 1 no depende de ninguna fase anterior y se expresa como No Aplica.</t>
  </si>
  <si>
    <r>
      <t xml:space="preserve">6.- </t>
    </r>
    <r>
      <rPr>
        <sz val="12"/>
        <color rgb="FFFF0000"/>
        <rFont val="Calibri Light"/>
        <family val="2"/>
      </rPr>
      <t>Columna E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"Tarea dependiente"</t>
    </r>
    <r>
      <rPr>
        <sz val="12"/>
        <rFont val="Calibri Light"/>
        <family val="2"/>
      </rPr>
      <t xml:space="preserve">: Determinar de que etapa depende la tarea.. Por ejemplo la etapa 3 depende de la 2. </t>
    </r>
  </si>
  <si>
    <t>es de tipo FC y empieza 3 días después de terminada la fase 2, se escribe 3. También puede ser que sea de tipo CC</t>
  </si>
  <si>
    <t xml:space="preserve"> y que empiece un día después de empezada la tarea anterior, en cuyo caso iría 1.</t>
  </si>
  <si>
    <r>
      <t xml:space="preserve">9.- </t>
    </r>
    <r>
      <rPr>
        <sz val="12"/>
        <color rgb="FFFF0000"/>
        <rFont val="Calibri Light"/>
        <family val="2"/>
      </rPr>
      <t>Columna J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"Responsable"</t>
    </r>
    <r>
      <rPr>
        <sz val="12"/>
        <rFont val="Calibri Light"/>
        <family val="2"/>
      </rPr>
      <t>: ingresar quien está a cargo de la etapa.</t>
    </r>
  </si>
  <si>
    <r>
      <t>En hoja "</t>
    </r>
    <r>
      <rPr>
        <b/>
        <sz val="12"/>
        <color theme="9"/>
        <rFont val="Calibri Light"/>
        <family val="2"/>
      </rPr>
      <t>Información del proyecto</t>
    </r>
    <r>
      <rPr>
        <sz val="12"/>
        <rFont val="Calibri Light"/>
        <family val="2"/>
      </rPr>
      <t>" automáticamente aparecerá</t>
    </r>
  </si>
  <si>
    <r>
      <t xml:space="preserve">1.- </t>
    </r>
    <r>
      <rPr>
        <sz val="12"/>
        <color rgb="FFFF0000"/>
        <rFont val="Calibri Light"/>
        <family val="2"/>
      </rPr>
      <t xml:space="preserve">Celda D6 </t>
    </r>
    <r>
      <rPr>
        <sz val="12"/>
        <color theme="1"/>
        <rFont val="Calibri Light"/>
        <family val="2"/>
      </rPr>
      <t>con la fecha de fin de proyecto.</t>
    </r>
  </si>
  <si>
    <r>
      <t xml:space="preserve">2.- </t>
    </r>
    <r>
      <rPr>
        <sz val="12"/>
        <color rgb="FFFF0000"/>
        <rFont val="Calibri Light"/>
        <family val="2"/>
      </rPr>
      <t xml:space="preserve">Columna B: </t>
    </r>
    <r>
      <rPr>
        <sz val="12"/>
        <color theme="1"/>
        <rFont val="Calibri Light"/>
        <family val="2"/>
      </rPr>
      <t>Número de etapa .</t>
    </r>
  </si>
  <si>
    <r>
      <t xml:space="preserve">3.- </t>
    </r>
    <r>
      <rPr>
        <sz val="12"/>
        <color rgb="FFFF0000"/>
        <rFont val="Calibri Light"/>
        <family val="2"/>
      </rPr>
      <t xml:space="preserve">Columna H e I: </t>
    </r>
    <r>
      <rPr>
        <sz val="12"/>
        <color theme="1"/>
        <rFont val="Calibri Light"/>
        <family val="2"/>
      </rPr>
      <t xml:space="preserve">Arroja las fechas de inicio y fin de cada etapa en base a lo completado de dependencia, días de dependencia, </t>
    </r>
  </si>
  <si>
    <t>fecha del proyecto.</t>
  </si>
  <si>
    <t>Tipo de Dependencia</t>
  </si>
  <si>
    <r>
      <t xml:space="preserve">7.- </t>
    </r>
    <r>
      <rPr>
        <sz val="12"/>
        <color rgb="FFFF0000"/>
        <rFont val="Calibri Light"/>
        <family val="2"/>
      </rPr>
      <t>Columna F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"Tipo de Dependencia"</t>
    </r>
    <r>
      <rPr>
        <sz val="12"/>
        <rFont val="Calibri Light"/>
        <family val="2"/>
      </rPr>
      <t>: Elegir si la dependencia es de tipo Comienzo-Comienzo (CC) que será en los casos que tienen</t>
    </r>
  </si>
  <si>
    <t>días comunes o de tipo Fin-Comienzo (FC) que es cuando la etapa subsiguiente comienza cuando termina la etapa con la que depende.</t>
  </si>
  <si>
    <t>Si la etapa 3 comienza junto con la 2 se elige la opción CC. Si la etapa 3 comienza cuando termina la 2, se elige FC.</t>
  </si>
  <si>
    <r>
      <t xml:space="preserve">4.- </t>
    </r>
    <r>
      <rPr>
        <sz val="12"/>
        <color rgb="FFFF0000"/>
        <rFont val="Calibri Light"/>
        <family val="2"/>
      </rPr>
      <t xml:space="preserve">Columna M: </t>
    </r>
    <r>
      <rPr>
        <sz val="12"/>
        <color theme="1"/>
        <rFont val="Calibri Light"/>
        <family val="2"/>
      </rPr>
      <t>Si la tarea se completó, calcula la cantidad de días que llevó la etapa.</t>
    </r>
  </si>
  <si>
    <r>
      <t xml:space="preserve">5.- A partir de la </t>
    </r>
    <r>
      <rPr>
        <sz val="12"/>
        <color rgb="FFFF0000"/>
        <rFont val="Calibri Light"/>
        <family val="2"/>
      </rPr>
      <t xml:space="preserve">Columna P </t>
    </r>
    <r>
      <rPr>
        <sz val="12"/>
        <rFont val="Calibri Light"/>
        <family val="2"/>
      </rPr>
      <t>está el diagrama de Gantt de cada fase.</t>
    </r>
  </si>
  <si>
    <r>
      <t>En hoja "</t>
    </r>
    <r>
      <rPr>
        <b/>
        <sz val="12"/>
        <color theme="9"/>
        <rFont val="Calibri Light"/>
        <family val="2"/>
      </rPr>
      <t>Reportes</t>
    </r>
    <r>
      <rPr>
        <sz val="12"/>
        <rFont val="Calibri Light"/>
        <family val="2"/>
      </rPr>
      <t>" mostrará la situación actual del proyecto</t>
    </r>
  </si>
  <si>
    <t>5.- Gráficos que ilustran la situación del proyecto</t>
  </si>
  <si>
    <r>
      <t xml:space="preserve">11.- Si se completó la etapa completar </t>
    </r>
    <r>
      <rPr>
        <sz val="12"/>
        <color rgb="FFFF0000"/>
        <rFont val="Calibri Light"/>
        <family val="2"/>
      </rPr>
      <t>Columna L "Fecha de finalización".</t>
    </r>
  </si>
  <si>
    <r>
      <t xml:space="preserve">1.- En la </t>
    </r>
    <r>
      <rPr>
        <sz val="12"/>
        <color rgb="FFFF0000"/>
        <rFont val="Calibri Light"/>
        <family val="2"/>
      </rPr>
      <t>celda C3</t>
    </r>
    <r>
      <rPr>
        <sz val="12"/>
        <rFont val="Calibri Light"/>
        <family val="2"/>
      </rPr>
      <t xml:space="preserve"> La fecha del reporte, asignada por defecto al día de hoy, pero se puede cambiar.</t>
    </r>
  </si>
  <si>
    <r>
      <t xml:space="preserve">2.- En la </t>
    </r>
    <r>
      <rPr>
        <sz val="12"/>
        <color rgb="FFFF0000"/>
        <rFont val="Calibri Light"/>
        <family val="2"/>
      </rPr>
      <t>celda C4</t>
    </r>
    <r>
      <rPr>
        <sz val="12"/>
        <rFont val="Calibri Light"/>
        <family val="2"/>
      </rPr>
      <t xml:space="preserve"> Días planeados : información que se obtiene de lo ingresado en la hoja información del proyecto</t>
    </r>
  </si>
  <si>
    <r>
      <t xml:space="preserve">3.-En la </t>
    </r>
    <r>
      <rPr>
        <sz val="12"/>
        <color rgb="FFFF0000"/>
        <rFont val="Calibri Light"/>
        <family val="2"/>
      </rPr>
      <t>celda C5</t>
    </r>
    <r>
      <rPr>
        <sz val="12"/>
        <rFont val="Calibri Light"/>
        <family val="2"/>
      </rPr>
      <t xml:space="preserve"> Días transcurridos desde el inicio a la fecha del reporte</t>
    </r>
  </si>
  <si>
    <r>
      <t xml:space="preserve">4.- En la </t>
    </r>
    <r>
      <rPr>
        <sz val="12"/>
        <color rgb="FFFF0000"/>
        <rFont val="Calibri Light"/>
        <family val="2"/>
      </rPr>
      <t>celda C6</t>
    </r>
    <r>
      <rPr>
        <sz val="12"/>
        <rFont val="Calibri Light"/>
        <family val="2"/>
      </rPr>
      <t xml:space="preserve"> Días faltantes para finalizar el proyecto</t>
    </r>
  </si>
  <si>
    <t>Días que efectivamente llevó la etapa</t>
  </si>
  <si>
    <t>FC</t>
  </si>
  <si>
    <t>Aclaración</t>
  </si>
  <si>
    <t>Para dejar la plantilla en blanco se debe borrar la información de las celdas contenidas en las columnas C a G, J a L.</t>
  </si>
  <si>
    <t>No borrar filas enteras porque pueden romper las fórmulas.</t>
  </si>
  <si>
    <t>También deben borrarse las celdas D3 a D5.</t>
  </si>
  <si>
    <t>PROYECTO</t>
  </si>
  <si>
    <t>FECHA INICIO</t>
  </si>
  <si>
    <t>DURACION(DIAS)</t>
  </si>
  <si>
    <t>FECHA FIN</t>
  </si>
  <si>
    <t>ETAPAS</t>
  </si>
  <si>
    <t>Duración
X etapa (días)</t>
  </si>
  <si>
    <t>CC</t>
  </si>
  <si>
    <t>7.1 Arquitectura Frontend</t>
  </si>
  <si>
    <t>1.0 INICIACIÓN Y PLANIFICACIÓN DEL PROYECTO</t>
  </si>
  <si>
    <t>2.0 ANÁLISIS DE NEGOCIO Y REQUIREMENTS</t>
  </si>
  <si>
    <t xml:space="preserve">9.0 DEPLOYMENT Y OPERACIONES </t>
  </si>
  <si>
    <t xml:space="preserve">10.0 CIERRE DEL PROYECTO </t>
  </si>
  <si>
    <t xml:space="preserve"> </t>
  </si>
  <si>
    <t>3.0 ARQUITECTURA Y DISEÑO DEL SISTEMA</t>
  </si>
  <si>
    <t>4.0 DESARROLLO - CORE BACKEND</t>
  </si>
  <si>
    <t>5.0 DESARROLLO - FUNCIONALIDADES AVANZADAS</t>
  </si>
  <si>
    <t>4.2 Módulo de Autenticación</t>
  </si>
  <si>
    <t>4.1 Desarrollo de Modelo de Datos</t>
  </si>
  <si>
    <t>8.0 TESTING DE INTEGRACION BXF</t>
  </si>
  <si>
    <t>6.0 TESTING</t>
  </si>
  <si>
    <t>STAFFLINK</t>
  </si>
  <si>
    <t>1.1 Product Backlog inicial</t>
  </si>
  <si>
    <t>1.2 Definición de roles Scrum</t>
  </si>
  <si>
    <t>1.3 Arquitectura preliminar</t>
  </si>
  <si>
    <t>2.1 Refinamiento de User Stories</t>
  </si>
  <si>
    <t>2.2 Definición de criterios de aceptación</t>
  </si>
  <si>
    <t>2.3 Análisis de integración con Smart Boleta</t>
  </si>
  <si>
    <t>2.4 Mapeo de flujo de datos</t>
  </si>
  <si>
    <t>3.1 Diseño de base de datos</t>
  </si>
  <si>
    <t>3.2 Arquitectura de monolito modular</t>
  </si>
  <si>
    <t xml:space="preserve"> 3.3 Definición de APIs</t>
  </si>
  <si>
    <t>3.4 Diagrama C4</t>
  </si>
  <si>
    <t>4.3 Módulo de generacion de link</t>
  </si>
  <si>
    <t>4.4 Modulo de captura de datos del postulante</t>
  </si>
  <si>
    <t>4.4.1 Verificacion de datos según condiciones</t>
  </si>
  <si>
    <t>4.5 Exportado de datos para Smart Boleta</t>
  </si>
  <si>
    <t>4.6 Validaciones Adicionales</t>
  </si>
  <si>
    <t>4.7 Gestión de Remuneración y Bonos</t>
  </si>
  <si>
    <t>5.1 Reportes</t>
  </si>
  <si>
    <t>5.2 Black List</t>
  </si>
  <si>
    <t>5.2 Planificacion para integrar con app de Formacion y etapa 2 (smart boleta)</t>
  </si>
  <si>
    <t>6.1 Testing de APIs</t>
  </si>
  <si>
    <t>6.2 Testing Unitario</t>
  </si>
  <si>
    <t>6.3 Integration testing</t>
  </si>
  <si>
    <t>6.4 Performance testing</t>
  </si>
  <si>
    <t xml:space="preserve">7.0 DESARROLLO - FRONTEND </t>
  </si>
  <si>
    <t>7.1.1 Vista Login</t>
  </si>
  <si>
    <t>7.1.2 Vista generar Link</t>
  </si>
  <si>
    <t>7.1.3 Vista formulario postulante</t>
  </si>
  <si>
    <t>7.1.4 Vista verificacion de datos</t>
  </si>
  <si>
    <t>7.1.5 Vista lista de postulantes para exportado</t>
  </si>
  <si>
    <t>7.1.6 Vista validaciones adicionales</t>
  </si>
  <si>
    <t>7.1.7 Vista gestion de remuneraciones y bonos</t>
  </si>
  <si>
    <t>7.1.8 Vista reportes</t>
  </si>
  <si>
    <t>8.1 UAT con usuarios finales</t>
  </si>
  <si>
    <t>8.2 Testing de usabilidad</t>
  </si>
  <si>
    <t>8.3 Corrección de bugs</t>
  </si>
  <si>
    <t>9.1 Deploy a producción</t>
  </si>
  <si>
    <t>9.2 Capacitación a usuarios</t>
  </si>
  <si>
    <t>9.2 Documentación técnica</t>
  </si>
  <si>
    <t>10.1 Retrospectiva final</t>
  </si>
  <si>
    <t>10.2 Documentación Final</t>
  </si>
  <si>
    <t>Daniel 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</si>
</sst>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;@"/>
    <numFmt numFmtId="165" formatCode="\+#,##0;\-#,##0"/>
    <numFmt numFmtId="166" formatCode="#,##0_ ;\-#,##0\ "/>
    <numFmt numFmtId="167" formatCode="dd/mm/yy;@"/>
  </numFmts>
  <fonts count="2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9688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1"/>
      <color rgb="FF008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name val="Calibri"/>
      <family val="2"/>
    </font>
    <font>
      <sz val="12"/>
      <name val="Courier"/>
    </font>
    <font>
      <sz val="12"/>
      <name val="Calibri Light"/>
      <family val="2"/>
    </font>
    <font>
      <b/>
      <sz val="14"/>
      <name val="Calibri Light"/>
      <family val="2"/>
    </font>
    <font>
      <u val="double"/>
      <sz val="12"/>
      <color rgb="FF0070C0"/>
      <name val="Calibri Light"/>
      <family val="2"/>
    </font>
    <font>
      <b/>
      <sz val="12"/>
      <color theme="9"/>
      <name val="Calibri Light"/>
      <family val="2"/>
    </font>
    <font>
      <sz val="12"/>
      <color rgb="FFFF0000"/>
      <name val="Calibri Light"/>
      <family val="2"/>
    </font>
    <font>
      <sz val="12"/>
      <color theme="1"/>
      <name val="Calibri Light"/>
      <family val="2"/>
    </font>
    <font>
      <i/>
      <u/>
      <sz val="12"/>
      <name val="Calibri Light"/>
      <family val="2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"/>
      <family val="2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</font>
    <font>
      <i/>
      <sz val="12"/>
      <color rgb="FFC00000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1B5A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2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0" fontId="0" fillId="0" borderId="0" xfId="0" applyNumberFormat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4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 textRotation="90"/>
    </xf>
    <xf numFmtId="167" fontId="0" fillId="0" borderId="0" xfId="0" applyNumberFormat="1" applyAlignment="1">
      <alignment vertical="center" textRotation="90"/>
    </xf>
    <xf numFmtId="164" fontId="0" fillId="0" borderId="0" xfId="0" applyNumberFormat="1" applyAlignment="1">
      <alignment textRotation="90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" fontId="3" fillId="0" borderId="0" xfId="0" applyNumberFormat="1" applyFont="1" applyAlignment="1">
      <alignment horizontal="right" vertical="center" wrapText="1"/>
    </xf>
    <xf numFmtId="0" fontId="2" fillId="0" borderId="7" xfId="0" applyFont="1" applyBorder="1" applyAlignment="1">
      <alignment horizontal="center"/>
    </xf>
    <xf numFmtId="9" fontId="2" fillId="0" borderId="7" xfId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3" fillId="0" borderId="0" xfId="2" applyFont="1"/>
    <xf numFmtId="0" fontId="13" fillId="2" borderId="0" xfId="2" applyFont="1" applyFill="1"/>
    <xf numFmtId="0" fontId="15" fillId="0" borderId="0" xfId="2" applyFont="1"/>
    <xf numFmtId="0" fontId="19" fillId="0" borderId="0" xfId="2" applyFont="1"/>
    <xf numFmtId="0" fontId="9" fillId="3" borderId="4" xfId="0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23" fillId="6" borderId="0" xfId="0" applyFont="1" applyFill="1"/>
    <xf numFmtId="0" fontId="1" fillId="4" borderId="17" xfId="0" applyFont="1" applyFill="1" applyBorder="1"/>
    <xf numFmtId="0" fontId="1" fillId="4" borderId="18" xfId="0" applyFont="1" applyFill="1" applyBorder="1"/>
    <xf numFmtId="0" fontId="1" fillId="4" borderId="19" xfId="0" applyFont="1" applyFill="1" applyBorder="1"/>
    <xf numFmtId="0" fontId="20" fillId="4" borderId="20" xfId="0" applyFont="1" applyFill="1" applyBorder="1"/>
    <xf numFmtId="0" fontId="20" fillId="4" borderId="21" xfId="0" applyFont="1" applyFill="1" applyBorder="1"/>
    <xf numFmtId="0" fontId="22" fillId="4" borderId="22" xfId="0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center" vertical="center" wrapText="1"/>
    </xf>
    <xf numFmtId="0" fontId="23" fillId="6" borderId="24" xfId="0" applyFont="1" applyFill="1" applyBorder="1"/>
    <xf numFmtId="0" fontId="23" fillId="6" borderId="21" xfId="0" applyFont="1" applyFill="1" applyBorder="1"/>
    <xf numFmtId="0" fontId="23" fillId="6" borderId="25" xfId="0" applyFont="1" applyFill="1" applyBorder="1"/>
    <xf numFmtId="14" fontId="25" fillId="6" borderId="26" xfId="0" applyNumberFormat="1" applyFont="1" applyFill="1" applyBorder="1" applyAlignment="1">
      <alignment horizontal="center" vertical="center"/>
    </xf>
    <xf numFmtId="0" fontId="23" fillId="6" borderId="26" xfId="0" applyFont="1" applyFill="1" applyBorder="1"/>
    <xf numFmtId="0" fontId="23" fillId="6" borderId="23" xfId="0" applyFont="1" applyFill="1" applyBorder="1"/>
    <xf numFmtId="0" fontId="10" fillId="0" borderId="1" xfId="0" applyFont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 wrapText="1"/>
    </xf>
    <xf numFmtId="0" fontId="22" fillId="5" borderId="18" xfId="0" applyFont="1" applyFill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 wrapText="1"/>
    </xf>
    <xf numFmtId="167" fontId="21" fillId="5" borderId="17" xfId="0" applyNumberFormat="1" applyFont="1" applyFill="1" applyBorder="1" applyAlignment="1">
      <alignment horizontal="center" vertical="center" textRotation="90"/>
    </xf>
    <xf numFmtId="167" fontId="21" fillId="5" borderId="18" xfId="0" applyNumberFormat="1" applyFont="1" applyFill="1" applyBorder="1" applyAlignment="1">
      <alignment horizontal="center" vertical="center" textRotation="90"/>
    </xf>
    <xf numFmtId="0" fontId="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7" fillId="0" borderId="0" xfId="0" applyFont="1"/>
    <xf numFmtId="0" fontId="6" fillId="0" borderId="1" xfId="0" applyFont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/>
    </xf>
    <xf numFmtId="0" fontId="14" fillId="0" borderId="0" xfId="2" applyFont="1" applyAlignment="1">
      <alignment horizontal="center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/>
    </xf>
    <xf numFmtId="0" fontId="24" fillId="6" borderId="16" xfId="0" applyFont="1" applyFill="1" applyBorder="1" applyAlignment="1">
      <alignment horizontal="center" vertical="center"/>
    </xf>
    <xf numFmtId="14" fontId="24" fillId="6" borderId="11" xfId="0" applyNumberFormat="1" applyFont="1" applyFill="1" applyBorder="1" applyAlignment="1">
      <alignment horizontal="center" vertical="center"/>
    </xf>
    <xf numFmtId="14" fontId="24" fillId="6" borderId="12" xfId="0" applyNumberFormat="1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24" fillId="6" borderId="12" xfId="0" applyFont="1" applyFill="1" applyBorder="1" applyAlignment="1">
      <alignment horizontal="center" vertical="center"/>
    </xf>
    <xf numFmtId="14" fontId="25" fillId="6" borderId="13" xfId="0" applyNumberFormat="1" applyFont="1" applyFill="1" applyBorder="1" applyAlignment="1">
      <alignment horizontal="center" vertical="center"/>
    </xf>
    <xf numFmtId="14" fontId="25" fillId="6" borderId="1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Normal" xfId="0" builtinId="0"/>
    <cellStyle name="Normal 3" xfId="2"/>
    <cellStyle name="Porcentaje" xfId="1" builtinId="5"/>
  </cellStyles>
  <dxfs count="5">
    <dxf>
      <font>
        <color rgb="FFFFC000"/>
      </font>
      <fill>
        <patternFill>
          <bgColor rgb="FFFFC00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3300"/>
      <color rgb="FFDFF2F1"/>
      <color rgb="FF009688"/>
      <color rgb="FF0066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/>
              <a:t>Días</a:t>
            </a:r>
            <a:r>
              <a:rPr lang="es-AR" sz="1200" baseline="0"/>
              <a:t> totales de proyecto</a:t>
            </a:r>
            <a:endParaRPr lang="es-A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3.7626657778479788E-2"/>
          <c:y val="0.25422029226728149"/>
          <c:w val="0.7701964522152257"/>
          <c:h val="0.58677538314408872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Reportes!$B$5</c:f>
              <c:strCache>
                <c:ptCount val="1"/>
                <c:pt idx="0">
                  <c:v>Días transcurridos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Reportes!$C$5</c:f>
              <c:numCache>
                <c:formatCode>0</c:formatCode>
                <c:ptCount val="1"/>
                <c:pt idx="0">
                  <c:v>5</c:v>
                </c:pt>
              </c:numCache>
            </c:numRef>
          </c:cat>
          <c:val>
            <c:numRef>
              <c:f>Reportes!$C$5</c:f>
              <c:numCache>
                <c:formatCode>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E-4CE5-8B14-4F83BC1D153E}"/>
            </c:ext>
          </c:extLst>
        </c:ser>
        <c:ser>
          <c:idx val="0"/>
          <c:order val="1"/>
          <c:tx>
            <c:v>Días faltantes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Reportes!$C$5</c:f>
              <c:numCache>
                <c:formatCode>0</c:formatCode>
                <c:ptCount val="1"/>
                <c:pt idx="0">
                  <c:v>5</c:v>
                </c:pt>
              </c:numCache>
            </c:numRef>
          </c:cat>
          <c:val>
            <c:numRef>
              <c:f>Reportes!$C$6</c:f>
              <c:numCache>
                <c:formatCode>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E-4CE5-8B14-4F83BC1D15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8111984"/>
        <c:axId val="358112544"/>
      </c:barChart>
      <c:catAx>
        <c:axId val="358111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8112544"/>
        <c:crosses val="autoZero"/>
        <c:auto val="1"/>
        <c:lblAlgn val="ctr"/>
        <c:lblOffset val="100"/>
        <c:noMultiLvlLbl val="0"/>
      </c:catAx>
      <c:valAx>
        <c:axId val="358112544"/>
        <c:scaling>
          <c:orientation val="minMax"/>
          <c:min val="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81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99826965920143"/>
          <c:y val="0.41206049135055289"/>
          <c:w val="0.26900173435654567"/>
          <c:h val="0.29301638033065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Días por etapa ordenado por # de etapa</a:t>
            </a:r>
            <a:endParaRPr lang="es-AR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42038139485623727"/>
          <c:y val="0.14825418227890355"/>
          <c:w val="0.52804005810113952"/>
          <c:h val="0.736537118428620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Reportes!$N$7:$N$56</c:f>
              <c:strCache>
                <c:ptCount val="50"/>
                <c:pt idx="0">
                  <c:v>1.0 INICIACIÓN Y PLANIFICACIÓN DEL PROYECTO</c:v>
                </c:pt>
                <c:pt idx="1">
                  <c:v>1.1 Product Backlog inicial</c:v>
                </c:pt>
                <c:pt idx="2">
                  <c:v>1.2 Definición de roles Scrum</c:v>
                </c:pt>
                <c:pt idx="3">
                  <c:v>2.0 ANÁLISIS DE NEGOCIO Y REQUIREMENTS</c:v>
                </c:pt>
                <c:pt idx="4">
                  <c:v>2.1 Refinamiento de User Stories</c:v>
                </c:pt>
                <c:pt idx="5">
                  <c:v>2.2 Definición de criterios de aceptación</c:v>
                </c:pt>
                <c:pt idx="6">
                  <c:v>3.0 ARQUITECTURA Y DISEÑO DEL SISTEMA</c:v>
                </c:pt>
                <c:pt idx="7">
                  <c:v>3.1 Diseño de base de datos</c:v>
                </c:pt>
                <c:pt idx="8">
                  <c:v>3.2 Arquitectura de monolito modular</c:v>
                </c:pt>
                <c:pt idx="9">
                  <c:v> 3.3 Definición de APIs</c:v>
                </c:pt>
                <c:pt idx="10">
                  <c:v>3.4 Diagrama C4</c:v>
                </c:pt>
                <c:pt idx="11">
                  <c:v>4.0 DESARROLLO - CORE BACKEND</c:v>
                </c:pt>
                <c:pt idx="12">
                  <c:v>4.1 Desarrollo de Modelo de Datos</c:v>
                </c:pt>
                <c:pt idx="13">
                  <c:v>4.2 Módulo de Autenticación</c:v>
                </c:pt>
                <c:pt idx="14">
                  <c:v>4.3 Módulo de generacion de link</c:v>
                </c:pt>
                <c:pt idx="15">
                  <c:v>4.4 Modulo de captura de datos del postulante</c:v>
                </c:pt>
                <c:pt idx="16">
                  <c:v>4.4.1 Verificacion de datos según condiciones</c:v>
                </c:pt>
                <c:pt idx="17">
                  <c:v>4.5 Exportado de datos para Smart Boleta</c:v>
                </c:pt>
                <c:pt idx="18">
                  <c:v>4.6 Validaciones Adicionales</c:v>
                </c:pt>
                <c:pt idx="19">
                  <c:v>4.7 Gestión de Remuneración y Bonos</c:v>
                </c:pt>
                <c:pt idx="20">
                  <c:v>5.0 DESARROLLO - FUNCIONALIDADES AVANZADAS</c:v>
                </c:pt>
                <c:pt idx="21">
                  <c:v>5.1 Reportes</c:v>
                </c:pt>
                <c:pt idx="22">
                  <c:v>5.2 Black List</c:v>
                </c:pt>
                <c:pt idx="23">
                  <c:v>5.2 Planificacion para integrar con app de Formacion y etapa 2 (smart boleta)</c:v>
                </c:pt>
                <c:pt idx="24">
                  <c:v>6.0 TESTING</c:v>
                </c:pt>
                <c:pt idx="25">
                  <c:v>6.1 Testing de APIs</c:v>
                </c:pt>
                <c:pt idx="26">
                  <c:v>6.2 Testing Unitario</c:v>
                </c:pt>
                <c:pt idx="27">
                  <c:v>6.3 Integration testing</c:v>
                </c:pt>
                <c:pt idx="28">
                  <c:v>6.4 Performance testing</c:v>
                </c:pt>
                <c:pt idx="29">
                  <c:v>7.0 DESARROLLO - FRONTEND </c:v>
                </c:pt>
                <c:pt idx="30">
                  <c:v>7.1 Arquitectura Frontend</c:v>
                </c:pt>
                <c:pt idx="31">
                  <c:v>7.1.1 Vista Login</c:v>
                </c:pt>
                <c:pt idx="32">
                  <c:v>7.1.2 Vista generar Link</c:v>
                </c:pt>
                <c:pt idx="33">
                  <c:v>7.1.3 Vista formulario postulante</c:v>
                </c:pt>
                <c:pt idx="34">
                  <c:v>7.1.4 Vista verificacion de datos</c:v>
                </c:pt>
                <c:pt idx="35">
                  <c:v>7.1.5 Vista lista de postulantes para exportado</c:v>
                </c:pt>
                <c:pt idx="36">
                  <c:v>7.1.6 Vista validaciones adicionales</c:v>
                </c:pt>
                <c:pt idx="37">
                  <c:v>7.1.7 Vista gestion de remuneraciones y bonos</c:v>
                </c:pt>
                <c:pt idx="38">
                  <c:v>7.1.8 Vista reportes</c:v>
                </c:pt>
                <c:pt idx="39">
                  <c:v>8.0 TESTING DE INTEGRACION BXF</c:v>
                </c:pt>
                <c:pt idx="40">
                  <c:v>8.1 UAT con usuarios finales</c:v>
                </c:pt>
                <c:pt idx="41">
                  <c:v>8.2 Testing de usabilidad</c:v>
                </c:pt>
                <c:pt idx="42">
                  <c:v>8.3 Corrección de bugs</c:v>
                </c:pt>
                <c:pt idx="43">
                  <c:v>9.0 DEPLOYMENT Y OPERACIONES </c:v>
                </c:pt>
                <c:pt idx="44">
                  <c:v>9.1 Deploy a producción</c:v>
                </c:pt>
                <c:pt idx="45">
                  <c:v>9.2 Capacitación a usuarios</c:v>
                </c:pt>
                <c:pt idx="46">
                  <c:v>9.2 Documentación técnica</c:v>
                </c:pt>
                <c:pt idx="47">
                  <c:v>10.0 CIERRE DEL PROYECTO </c:v>
                </c:pt>
                <c:pt idx="48">
                  <c:v>10.1 Retrospectiva final</c:v>
                </c:pt>
                <c:pt idx="49">
                  <c:v>10.2 Documentación Final</c:v>
                </c:pt>
              </c:strCache>
            </c:strRef>
          </c:cat>
          <c:val>
            <c:numRef>
              <c:f>Reportes!$O$7:$O$56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1-4648-A9BE-04451B0DB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8446768"/>
        <c:axId val="358447328"/>
      </c:barChart>
      <c:catAx>
        <c:axId val="358446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8447328"/>
        <c:crosses val="autoZero"/>
        <c:auto val="1"/>
        <c:lblAlgn val="ctr"/>
        <c:lblOffset val="100"/>
        <c:noMultiLvlLbl val="0"/>
      </c:catAx>
      <c:valAx>
        <c:axId val="3584473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84467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/>
              <a:t>% Etapas según Estatus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6808223972003498"/>
          <c:y val="0.11251312335958005"/>
          <c:w val="0.45272440944881887"/>
          <c:h val="0.7545406824146980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54-4E83-AA14-0B1954496A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54-4E83-AA14-0B1954496A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54-4E83-AA14-0B1954496A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54-4E83-AA14-0B1954496A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Reportes!$Q$6:$Q$9</c:f>
              <c:strCache>
                <c:ptCount val="4"/>
                <c:pt idx="0">
                  <c:v>Completado</c:v>
                </c:pt>
                <c:pt idx="1">
                  <c:v>Retrasado</c:v>
                </c:pt>
                <c:pt idx="2">
                  <c:v>En progreso</c:v>
                </c:pt>
                <c:pt idx="3">
                  <c:v>No comenzado</c:v>
                </c:pt>
              </c:strCache>
            </c:strRef>
          </c:cat>
          <c:val>
            <c:numRef>
              <c:f>Reportes!$R$6:$R$9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4-49DB-B369-00512125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108858</xdr:colOff>
      <xdr:row>0</xdr:row>
      <xdr:rowOff>40822</xdr:rowOff>
    </xdr:from>
    <xdr:to>
      <xdr:col>9</xdr:col>
      <xdr:colOff>571500</xdr:colOff>
      <xdr:row>0</xdr:row>
      <xdr:rowOff>530679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88179" y="40822"/>
          <a:ext cx="4803321" cy="489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 u="none" strike="noStrike">
              <a:solidFill>
                <a:schemeClr val="bg1"/>
              </a:solidFill>
              <a:effectLst/>
              <a:latin typeface="Calibri Light" charset="0"/>
              <a:ea typeface="+mn-ea"/>
              <a:cs typeface="+mn-cs"/>
            </a:rPr>
            <a:t>PROYECTO</a:t>
          </a:r>
          <a:r>
            <a:rPr lang="en-US" sz="2000" b="0" i="0" u="none" strike="noStrike" baseline="0">
              <a:solidFill>
                <a:schemeClr val="bg1"/>
              </a:solidFill>
              <a:effectLst/>
              <a:latin typeface="Calibri Light" charset="0"/>
              <a:ea typeface="+mn-ea"/>
              <a:cs typeface="+mn-cs"/>
            </a:rPr>
            <a:t>S GEA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en-US" sz="2000" b="0" i="0">
            <a:solidFill>
              <a:schemeClr val="bg1"/>
            </a:solidFill>
            <a:latin typeface="Calibri Light" charset="0"/>
            <a:ea typeface="Calibri Light" charset="0"/>
            <a:cs typeface="Calibri Light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107950</xdr:rowOff>
    </xdr:from>
    <xdr:to>
      <xdr:col>7</xdr:col>
      <xdr:colOff>609599</xdr:colOff>
      <xdr:row>0</xdr:row>
      <xdr:rowOff>409575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115360" y="107950"/>
          <a:ext cx="4259915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Proyecto</a:t>
          </a:r>
          <a:r>
            <a:rPr lang="en-US" sz="2000" b="0" i="0" baseline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 </a:t>
          </a:r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GEA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en-US" sz="2000" b="0" i="0">
            <a:solidFill>
              <a:schemeClr val="bg1"/>
            </a:solidFill>
            <a:latin typeface="Calibri Light" charset="0"/>
            <a:ea typeface="Calibri Light" charset="0"/>
            <a:cs typeface="Calibri Light" charset="0"/>
          </a:endParaRPr>
        </a:p>
      </xdr:txBody>
    </xdr:sp>
    <xdr:clientData/>
  </xdr:twoCellAnchor>
  <xdr:twoCellAnchor>
    <xdr:from>
      <xdr:col>7</xdr:col>
      <xdr:colOff>336179</xdr:colOff>
      <xdr:row>9</xdr:row>
      <xdr:rowOff>169206</xdr:rowOff>
    </xdr:from>
    <xdr:to>
      <xdr:col>25</xdr:col>
      <xdr:colOff>627531</xdr:colOff>
      <xdr:row>31</xdr:row>
      <xdr:rowOff>44821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181840</xdr:colOff>
      <xdr:row>37</xdr:row>
      <xdr:rowOff>137628</xdr:rowOff>
    </xdr:from>
    <xdr:to>
      <xdr:col>9</xdr:col>
      <xdr:colOff>224117</xdr:colOff>
      <xdr:row>96</xdr:row>
      <xdr:rowOff>145676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7</xdr:row>
      <xdr:rowOff>158003</xdr:rowOff>
    </xdr:from>
    <xdr:to>
      <xdr:col>4</xdr:col>
      <xdr:colOff>728382</xdr:colOff>
      <xdr:row>29</xdr:row>
      <xdr:rowOff>145676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6"/>
  <sheetViews>
    <sheetView showGridLines="0" topLeftCell="A10" zoomScale="90" zoomScaleNormal="90" workbookViewId="0">
      <selection activeCell="M25" sqref="M25"/>
    </sheetView>
  </sheetViews>
  <sheetFormatPr baseColWidth="10" defaultRowHeight="15.75" x14ac:dyDescent="0.25"/>
  <cols>
    <col min="1" max="1" width="3.7109375" style="24" customWidth="1"/>
    <col min="2" max="2" width="0.28515625" style="24" customWidth="1"/>
    <col min="3" max="7" width="11.42578125" style="24"/>
    <col min="8" max="8" width="27.28515625" style="24" customWidth="1"/>
    <col min="9" max="10" width="11.42578125" style="24"/>
    <col min="11" max="11" width="13.85546875" style="24" customWidth="1"/>
    <col min="12" max="12" width="0.5703125" style="24" customWidth="1"/>
    <col min="13" max="256" width="11.42578125" style="24"/>
    <col min="257" max="257" width="3.7109375" style="24" customWidth="1"/>
    <col min="258" max="258" width="0.28515625" style="24" customWidth="1"/>
    <col min="259" max="263" width="11.42578125" style="24"/>
    <col min="264" max="264" width="27.28515625" style="24" customWidth="1"/>
    <col min="265" max="266" width="11.42578125" style="24"/>
    <col min="267" max="267" width="12.85546875" style="24" customWidth="1"/>
    <col min="268" max="268" width="0.5703125" style="24" customWidth="1"/>
    <col min="269" max="512" width="11.42578125" style="24"/>
    <col min="513" max="513" width="3.7109375" style="24" customWidth="1"/>
    <col min="514" max="514" width="0.28515625" style="24" customWidth="1"/>
    <col min="515" max="519" width="11.42578125" style="24"/>
    <col min="520" max="520" width="27.28515625" style="24" customWidth="1"/>
    <col min="521" max="522" width="11.42578125" style="24"/>
    <col min="523" max="523" width="12.85546875" style="24" customWidth="1"/>
    <col min="524" max="524" width="0.5703125" style="24" customWidth="1"/>
    <col min="525" max="768" width="11.42578125" style="24"/>
    <col min="769" max="769" width="3.7109375" style="24" customWidth="1"/>
    <col min="770" max="770" width="0.28515625" style="24" customWidth="1"/>
    <col min="771" max="775" width="11.42578125" style="24"/>
    <col min="776" max="776" width="27.28515625" style="24" customWidth="1"/>
    <col min="777" max="778" width="11.42578125" style="24"/>
    <col min="779" max="779" width="12.85546875" style="24" customWidth="1"/>
    <col min="780" max="780" width="0.5703125" style="24" customWidth="1"/>
    <col min="781" max="1024" width="11.42578125" style="24"/>
    <col min="1025" max="1025" width="3.7109375" style="24" customWidth="1"/>
    <col min="1026" max="1026" width="0.28515625" style="24" customWidth="1"/>
    <col min="1027" max="1031" width="11.42578125" style="24"/>
    <col min="1032" max="1032" width="27.28515625" style="24" customWidth="1"/>
    <col min="1033" max="1034" width="11.42578125" style="24"/>
    <col min="1035" max="1035" width="12.85546875" style="24" customWidth="1"/>
    <col min="1036" max="1036" width="0.5703125" style="24" customWidth="1"/>
    <col min="1037" max="1280" width="11.42578125" style="24"/>
    <col min="1281" max="1281" width="3.7109375" style="24" customWidth="1"/>
    <col min="1282" max="1282" width="0.28515625" style="24" customWidth="1"/>
    <col min="1283" max="1287" width="11.42578125" style="24"/>
    <col min="1288" max="1288" width="27.28515625" style="24" customWidth="1"/>
    <col min="1289" max="1290" width="11.42578125" style="24"/>
    <col min="1291" max="1291" width="12.85546875" style="24" customWidth="1"/>
    <col min="1292" max="1292" width="0.5703125" style="24" customWidth="1"/>
    <col min="1293" max="1536" width="11.42578125" style="24"/>
    <col min="1537" max="1537" width="3.7109375" style="24" customWidth="1"/>
    <col min="1538" max="1538" width="0.28515625" style="24" customWidth="1"/>
    <col min="1539" max="1543" width="11.42578125" style="24"/>
    <col min="1544" max="1544" width="27.28515625" style="24" customWidth="1"/>
    <col min="1545" max="1546" width="11.42578125" style="24"/>
    <col min="1547" max="1547" width="12.85546875" style="24" customWidth="1"/>
    <col min="1548" max="1548" width="0.5703125" style="24" customWidth="1"/>
    <col min="1549" max="1792" width="11.42578125" style="24"/>
    <col min="1793" max="1793" width="3.7109375" style="24" customWidth="1"/>
    <col min="1794" max="1794" width="0.28515625" style="24" customWidth="1"/>
    <col min="1795" max="1799" width="11.42578125" style="24"/>
    <col min="1800" max="1800" width="27.28515625" style="24" customWidth="1"/>
    <col min="1801" max="1802" width="11.42578125" style="24"/>
    <col min="1803" max="1803" width="12.85546875" style="24" customWidth="1"/>
    <col min="1804" max="1804" width="0.5703125" style="24" customWidth="1"/>
    <col min="1805" max="2048" width="11.42578125" style="24"/>
    <col min="2049" max="2049" width="3.7109375" style="24" customWidth="1"/>
    <col min="2050" max="2050" width="0.28515625" style="24" customWidth="1"/>
    <col min="2051" max="2055" width="11.42578125" style="24"/>
    <col min="2056" max="2056" width="27.28515625" style="24" customWidth="1"/>
    <col min="2057" max="2058" width="11.42578125" style="24"/>
    <col min="2059" max="2059" width="12.85546875" style="24" customWidth="1"/>
    <col min="2060" max="2060" width="0.5703125" style="24" customWidth="1"/>
    <col min="2061" max="2304" width="11.42578125" style="24"/>
    <col min="2305" max="2305" width="3.7109375" style="24" customWidth="1"/>
    <col min="2306" max="2306" width="0.28515625" style="24" customWidth="1"/>
    <col min="2307" max="2311" width="11.42578125" style="24"/>
    <col min="2312" max="2312" width="27.28515625" style="24" customWidth="1"/>
    <col min="2313" max="2314" width="11.42578125" style="24"/>
    <col min="2315" max="2315" width="12.85546875" style="24" customWidth="1"/>
    <col min="2316" max="2316" width="0.5703125" style="24" customWidth="1"/>
    <col min="2317" max="2560" width="11.42578125" style="24"/>
    <col min="2561" max="2561" width="3.7109375" style="24" customWidth="1"/>
    <col min="2562" max="2562" width="0.28515625" style="24" customWidth="1"/>
    <col min="2563" max="2567" width="11.42578125" style="24"/>
    <col min="2568" max="2568" width="27.28515625" style="24" customWidth="1"/>
    <col min="2569" max="2570" width="11.42578125" style="24"/>
    <col min="2571" max="2571" width="12.85546875" style="24" customWidth="1"/>
    <col min="2572" max="2572" width="0.5703125" style="24" customWidth="1"/>
    <col min="2573" max="2816" width="11.42578125" style="24"/>
    <col min="2817" max="2817" width="3.7109375" style="24" customWidth="1"/>
    <col min="2818" max="2818" width="0.28515625" style="24" customWidth="1"/>
    <col min="2819" max="2823" width="11.42578125" style="24"/>
    <col min="2824" max="2824" width="27.28515625" style="24" customWidth="1"/>
    <col min="2825" max="2826" width="11.42578125" style="24"/>
    <col min="2827" max="2827" width="12.85546875" style="24" customWidth="1"/>
    <col min="2828" max="2828" width="0.5703125" style="24" customWidth="1"/>
    <col min="2829" max="3072" width="11.42578125" style="24"/>
    <col min="3073" max="3073" width="3.7109375" style="24" customWidth="1"/>
    <col min="3074" max="3074" width="0.28515625" style="24" customWidth="1"/>
    <col min="3075" max="3079" width="11.42578125" style="24"/>
    <col min="3080" max="3080" width="27.28515625" style="24" customWidth="1"/>
    <col min="3081" max="3082" width="11.42578125" style="24"/>
    <col min="3083" max="3083" width="12.85546875" style="24" customWidth="1"/>
    <col min="3084" max="3084" width="0.5703125" style="24" customWidth="1"/>
    <col min="3085" max="3328" width="11.42578125" style="24"/>
    <col min="3329" max="3329" width="3.7109375" style="24" customWidth="1"/>
    <col min="3330" max="3330" width="0.28515625" style="24" customWidth="1"/>
    <col min="3331" max="3335" width="11.42578125" style="24"/>
    <col min="3336" max="3336" width="27.28515625" style="24" customWidth="1"/>
    <col min="3337" max="3338" width="11.42578125" style="24"/>
    <col min="3339" max="3339" width="12.85546875" style="24" customWidth="1"/>
    <col min="3340" max="3340" width="0.5703125" style="24" customWidth="1"/>
    <col min="3341" max="3584" width="11.42578125" style="24"/>
    <col min="3585" max="3585" width="3.7109375" style="24" customWidth="1"/>
    <col min="3586" max="3586" width="0.28515625" style="24" customWidth="1"/>
    <col min="3587" max="3591" width="11.42578125" style="24"/>
    <col min="3592" max="3592" width="27.28515625" style="24" customWidth="1"/>
    <col min="3593" max="3594" width="11.42578125" style="24"/>
    <col min="3595" max="3595" width="12.85546875" style="24" customWidth="1"/>
    <col min="3596" max="3596" width="0.5703125" style="24" customWidth="1"/>
    <col min="3597" max="3840" width="11.42578125" style="24"/>
    <col min="3841" max="3841" width="3.7109375" style="24" customWidth="1"/>
    <col min="3842" max="3842" width="0.28515625" style="24" customWidth="1"/>
    <col min="3843" max="3847" width="11.42578125" style="24"/>
    <col min="3848" max="3848" width="27.28515625" style="24" customWidth="1"/>
    <col min="3849" max="3850" width="11.42578125" style="24"/>
    <col min="3851" max="3851" width="12.85546875" style="24" customWidth="1"/>
    <col min="3852" max="3852" width="0.5703125" style="24" customWidth="1"/>
    <col min="3853" max="4096" width="11.42578125" style="24"/>
    <col min="4097" max="4097" width="3.7109375" style="24" customWidth="1"/>
    <col min="4098" max="4098" width="0.28515625" style="24" customWidth="1"/>
    <col min="4099" max="4103" width="11.42578125" style="24"/>
    <col min="4104" max="4104" width="27.28515625" style="24" customWidth="1"/>
    <col min="4105" max="4106" width="11.42578125" style="24"/>
    <col min="4107" max="4107" width="12.85546875" style="24" customWidth="1"/>
    <col min="4108" max="4108" width="0.5703125" style="24" customWidth="1"/>
    <col min="4109" max="4352" width="11.42578125" style="24"/>
    <col min="4353" max="4353" width="3.7109375" style="24" customWidth="1"/>
    <col min="4354" max="4354" width="0.28515625" style="24" customWidth="1"/>
    <col min="4355" max="4359" width="11.42578125" style="24"/>
    <col min="4360" max="4360" width="27.28515625" style="24" customWidth="1"/>
    <col min="4361" max="4362" width="11.42578125" style="24"/>
    <col min="4363" max="4363" width="12.85546875" style="24" customWidth="1"/>
    <col min="4364" max="4364" width="0.5703125" style="24" customWidth="1"/>
    <col min="4365" max="4608" width="11.42578125" style="24"/>
    <col min="4609" max="4609" width="3.7109375" style="24" customWidth="1"/>
    <col min="4610" max="4610" width="0.28515625" style="24" customWidth="1"/>
    <col min="4611" max="4615" width="11.42578125" style="24"/>
    <col min="4616" max="4616" width="27.28515625" style="24" customWidth="1"/>
    <col min="4617" max="4618" width="11.42578125" style="24"/>
    <col min="4619" max="4619" width="12.85546875" style="24" customWidth="1"/>
    <col min="4620" max="4620" width="0.5703125" style="24" customWidth="1"/>
    <col min="4621" max="4864" width="11.42578125" style="24"/>
    <col min="4865" max="4865" width="3.7109375" style="24" customWidth="1"/>
    <col min="4866" max="4866" width="0.28515625" style="24" customWidth="1"/>
    <col min="4867" max="4871" width="11.42578125" style="24"/>
    <col min="4872" max="4872" width="27.28515625" style="24" customWidth="1"/>
    <col min="4873" max="4874" width="11.42578125" style="24"/>
    <col min="4875" max="4875" width="12.85546875" style="24" customWidth="1"/>
    <col min="4876" max="4876" width="0.5703125" style="24" customWidth="1"/>
    <col min="4877" max="5120" width="11.42578125" style="24"/>
    <col min="5121" max="5121" width="3.7109375" style="24" customWidth="1"/>
    <col min="5122" max="5122" width="0.28515625" style="24" customWidth="1"/>
    <col min="5123" max="5127" width="11.42578125" style="24"/>
    <col min="5128" max="5128" width="27.28515625" style="24" customWidth="1"/>
    <col min="5129" max="5130" width="11.42578125" style="24"/>
    <col min="5131" max="5131" width="12.85546875" style="24" customWidth="1"/>
    <col min="5132" max="5132" width="0.5703125" style="24" customWidth="1"/>
    <col min="5133" max="5376" width="11.42578125" style="24"/>
    <col min="5377" max="5377" width="3.7109375" style="24" customWidth="1"/>
    <col min="5378" max="5378" width="0.28515625" style="24" customWidth="1"/>
    <col min="5379" max="5383" width="11.42578125" style="24"/>
    <col min="5384" max="5384" width="27.28515625" style="24" customWidth="1"/>
    <col min="5385" max="5386" width="11.42578125" style="24"/>
    <col min="5387" max="5387" width="12.85546875" style="24" customWidth="1"/>
    <col min="5388" max="5388" width="0.5703125" style="24" customWidth="1"/>
    <col min="5389" max="5632" width="11.42578125" style="24"/>
    <col min="5633" max="5633" width="3.7109375" style="24" customWidth="1"/>
    <col min="5634" max="5634" width="0.28515625" style="24" customWidth="1"/>
    <col min="5635" max="5639" width="11.42578125" style="24"/>
    <col min="5640" max="5640" width="27.28515625" style="24" customWidth="1"/>
    <col min="5641" max="5642" width="11.42578125" style="24"/>
    <col min="5643" max="5643" width="12.85546875" style="24" customWidth="1"/>
    <col min="5644" max="5644" width="0.5703125" style="24" customWidth="1"/>
    <col min="5645" max="5888" width="11.42578125" style="24"/>
    <col min="5889" max="5889" width="3.7109375" style="24" customWidth="1"/>
    <col min="5890" max="5890" width="0.28515625" style="24" customWidth="1"/>
    <col min="5891" max="5895" width="11.42578125" style="24"/>
    <col min="5896" max="5896" width="27.28515625" style="24" customWidth="1"/>
    <col min="5897" max="5898" width="11.42578125" style="24"/>
    <col min="5899" max="5899" width="12.85546875" style="24" customWidth="1"/>
    <col min="5900" max="5900" width="0.5703125" style="24" customWidth="1"/>
    <col min="5901" max="6144" width="11.42578125" style="24"/>
    <col min="6145" max="6145" width="3.7109375" style="24" customWidth="1"/>
    <col min="6146" max="6146" width="0.28515625" style="24" customWidth="1"/>
    <col min="6147" max="6151" width="11.42578125" style="24"/>
    <col min="6152" max="6152" width="27.28515625" style="24" customWidth="1"/>
    <col min="6153" max="6154" width="11.42578125" style="24"/>
    <col min="6155" max="6155" width="12.85546875" style="24" customWidth="1"/>
    <col min="6156" max="6156" width="0.5703125" style="24" customWidth="1"/>
    <col min="6157" max="6400" width="11.42578125" style="24"/>
    <col min="6401" max="6401" width="3.7109375" style="24" customWidth="1"/>
    <col min="6402" max="6402" width="0.28515625" style="24" customWidth="1"/>
    <col min="6403" max="6407" width="11.42578125" style="24"/>
    <col min="6408" max="6408" width="27.28515625" style="24" customWidth="1"/>
    <col min="6409" max="6410" width="11.42578125" style="24"/>
    <col min="6411" max="6411" width="12.85546875" style="24" customWidth="1"/>
    <col min="6412" max="6412" width="0.5703125" style="24" customWidth="1"/>
    <col min="6413" max="6656" width="11.42578125" style="24"/>
    <col min="6657" max="6657" width="3.7109375" style="24" customWidth="1"/>
    <col min="6658" max="6658" width="0.28515625" style="24" customWidth="1"/>
    <col min="6659" max="6663" width="11.42578125" style="24"/>
    <col min="6664" max="6664" width="27.28515625" style="24" customWidth="1"/>
    <col min="6665" max="6666" width="11.42578125" style="24"/>
    <col min="6667" max="6667" width="12.85546875" style="24" customWidth="1"/>
    <col min="6668" max="6668" width="0.5703125" style="24" customWidth="1"/>
    <col min="6669" max="6912" width="11.42578125" style="24"/>
    <col min="6913" max="6913" width="3.7109375" style="24" customWidth="1"/>
    <col min="6914" max="6914" width="0.28515625" style="24" customWidth="1"/>
    <col min="6915" max="6919" width="11.42578125" style="24"/>
    <col min="6920" max="6920" width="27.28515625" style="24" customWidth="1"/>
    <col min="6921" max="6922" width="11.42578125" style="24"/>
    <col min="6923" max="6923" width="12.85546875" style="24" customWidth="1"/>
    <col min="6924" max="6924" width="0.5703125" style="24" customWidth="1"/>
    <col min="6925" max="7168" width="11.42578125" style="24"/>
    <col min="7169" max="7169" width="3.7109375" style="24" customWidth="1"/>
    <col min="7170" max="7170" width="0.28515625" style="24" customWidth="1"/>
    <col min="7171" max="7175" width="11.42578125" style="24"/>
    <col min="7176" max="7176" width="27.28515625" style="24" customWidth="1"/>
    <col min="7177" max="7178" width="11.42578125" style="24"/>
    <col min="7179" max="7179" width="12.85546875" style="24" customWidth="1"/>
    <col min="7180" max="7180" width="0.5703125" style="24" customWidth="1"/>
    <col min="7181" max="7424" width="11.42578125" style="24"/>
    <col min="7425" max="7425" width="3.7109375" style="24" customWidth="1"/>
    <col min="7426" max="7426" width="0.28515625" style="24" customWidth="1"/>
    <col min="7427" max="7431" width="11.42578125" style="24"/>
    <col min="7432" max="7432" width="27.28515625" style="24" customWidth="1"/>
    <col min="7433" max="7434" width="11.42578125" style="24"/>
    <col min="7435" max="7435" width="12.85546875" style="24" customWidth="1"/>
    <col min="7436" max="7436" width="0.5703125" style="24" customWidth="1"/>
    <col min="7437" max="7680" width="11.42578125" style="24"/>
    <col min="7681" max="7681" width="3.7109375" style="24" customWidth="1"/>
    <col min="7682" max="7682" width="0.28515625" style="24" customWidth="1"/>
    <col min="7683" max="7687" width="11.42578125" style="24"/>
    <col min="7688" max="7688" width="27.28515625" style="24" customWidth="1"/>
    <col min="7689" max="7690" width="11.42578125" style="24"/>
    <col min="7691" max="7691" width="12.85546875" style="24" customWidth="1"/>
    <col min="7692" max="7692" width="0.5703125" style="24" customWidth="1"/>
    <col min="7693" max="7936" width="11.42578125" style="24"/>
    <col min="7937" max="7937" width="3.7109375" style="24" customWidth="1"/>
    <col min="7938" max="7938" width="0.28515625" style="24" customWidth="1"/>
    <col min="7939" max="7943" width="11.42578125" style="24"/>
    <col min="7944" max="7944" width="27.28515625" style="24" customWidth="1"/>
    <col min="7945" max="7946" width="11.42578125" style="24"/>
    <col min="7947" max="7947" width="12.85546875" style="24" customWidth="1"/>
    <col min="7948" max="7948" width="0.5703125" style="24" customWidth="1"/>
    <col min="7949" max="8192" width="11.42578125" style="24"/>
    <col min="8193" max="8193" width="3.7109375" style="24" customWidth="1"/>
    <col min="8194" max="8194" width="0.28515625" style="24" customWidth="1"/>
    <col min="8195" max="8199" width="11.42578125" style="24"/>
    <col min="8200" max="8200" width="27.28515625" style="24" customWidth="1"/>
    <col min="8201" max="8202" width="11.42578125" style="24"/>
    <col min="8203" max="8203" width="12.85546875" style="24" customWidth="1"/>
    <col min="8204" max="8204" width="0.5703125" style="24" customWidth="1"/>
    <col min="8205" max="8448" width="11.42578125" style="24"/>
    <col min="8449" max="8449" width="3.7109375" style="24" customWidth="1"/>
    <col min="8450" max="8450" width="0.28515625" style="24" customWidth="1"/>
    <col min="8451" max="8455" width="11.42578125" style="24"/>
    <col min="8456" max="8456" width="27.28515625" style="24" customWidth="1"/>
    <col min="8457" max="8458" width="11.42578125" style="24"/>
    <col min="8459" max="8459" width="12.85546875" style="24" customWidth="1"/>
    <col min="8460" max="8460" width="0.5703125" style="24" customWidth="1"/>
    <col min="8461" max="8704" width="11.42578125" style="24"/>
    <col min="8705" max="8705" width="3.7109375" style="24" customWidth="1"/>
    <col min="8706" max="8706" width="0.28515625" style="24" customWidth="1"/>
    <col min="8707" max="8711" width="11.42578125" style="24"/>
    <col min="8712" max="8712" width="27.28515625" style="24" customWidth="1"/>
    <col min="8713" max="8714" width="11.42578125" style="24"/>
    <col min="8715" max="8715" width="12.85546875" style="24" customWidth="1"/>
    <col min="8716" max="8716" width="0.5703125" style="24" customWidth="1"/>
    <col min="8717" max="8960" width="11.42578125" style="24"/>
    <col min="8961" max="8961" width="3.7109375" style="24" customWidth="1"/>
    <col min="8962" max="8962" width="0.28515625" style="24" customWidth="1"/>
    <col min="8963" max="8967" width="11.42578125" style="24"/>
    <col min="8968" max="8968" width="27.28515625" style="24" customWidth="1"/>
    <col min="8969" max="8970" width="11.42578125" style="24"/>
    <col min="8971" max="8971" width="12.85546875" style="24" customWidth="1"/>
    <col min="8972" max="8972" width="0.5703125" style="24" customWidth="1"/>
    <col min="8973" max="9216" width="11.42578125" style="24"/>
    <col min="9217" max="9217" width="3.7109375" style="24" customWidth="1"/>
    <col min="9218" max="9218" width="0.28515625" style="24" customWidth="1"/>
    <col min="9219" max="9223" width="11.42578125" style="24"/>
    <col min="9224" max="9224" width="27.28515625" style="24" customWidth="1"/>
    <col min="9225" max="9226" width="11.42578125" style="24"/>
    <col min="9227" max="9227" width="12.85546875" style="24" customWidth="1"/>
    <col min="9228" max="9228" width="0.5703125" style="24" customWidth="1"/>
    <col min="9229" max="9472" width="11.42578125" style="24"/>
    <col min="9473" max="9473" width="3.7109375" style="24" customWidth="1"/>
    <col min="9474" max="9474" width="0.28515625" style="24" customWidth="1"/>
    <col min="9475" max="9479" width="11.42578125" style="24"/>
    <col min="9480" max="9480" width="27.28515625" style="24" customWidth="1"/>
    <col min="9481" max="9482" width="11.42578125" style="24"/>
    <col min="9483" max="9483" width="12.85546875" style="24" customWidth="1"/>
    <col min="9484" max="9484" width="0.5703125" style="24" customWidth="1"/>
    <col min="9485" max="9728" width="11.42578125" style="24"/>
    <col min="9729" max="9729" width="3.7109375" style="24" customWidth="1"/>
    <col min="9730" max="9730" width="0.28515625" style="24" customWidth="1"/>
    <col min="9731" max="9735" width="11.42578125" style="24"/>
    <col min="9736" max="9736" width="27.28515625" style="24" customWidth="1"/>
    <col min="9737" max="9738" width="11.42578125" style="24"/>
    <col min="9739" max="9739" width="12.85546875" style="24" customWidth="1"/>
    <col min="9740" max="9740" width="0.5703125" style="24" customWidth="1"/>
    <col min="9741" max="9984" width="11.42578125" style="24"/>
    <col min="9985" max="9985" width="3.7109375" style="24" customWidth="1"/>
    <col min="9986" max="9986" width="0.28515625" style="24" customWidth="1"/>
    <col min="9987" max="9991" width="11.42578125" style="24"/>
    <col min="9992" max="9992" width="27.28515625" style="24" customWidth="1"/>
    <col min="9993" max="9994" width="11.42578125" style="24"/>
    <col min="9995" max="9995" width="12.85546875" style="24" customWidth="1"/>
    <col min="9996" max="9996" width="0.5703125" style="24" customWidth="1"/>
    <col min="9997" max="10240" width="11.42578125" style="24"/>
    <col min="10241" max="10241" width="3.7109375" style="24" customWidth="1"/>
    <col min="10242" max="10242" width="0.28515625" style="24" customWidth="1"/>
    <col min="10243" max="10247" width="11.42578125" style="24"/>
    <col min="10248" max="10248" width="27.28515625" style="24" customWidth="1"/>
    <col min="10249" max="10250" width="11.42578125" style="24"/>
    <col min="10251" max="10251" width="12.85546875" style="24" customWidth="1"/>
    <col min="10252" max="10252" width="0.5703125" style="24" customWidth="1"/>
    <col min="10253" max="10496" width="11.42578125" style="24"/>
    <col min="10497" max="10497" width="3.7109375" style="24" customWidth="1"/>
    <col min="10498" max="10498" width="0.28515625" style="24" customWidth="1"/>
    <col min="10499" max="10503" width="11.42578125" style="24"/>
    <col min="10504" max="10504" width="27.28515625" style="24" customWidth="1"/>
    <col min="10505" max="10506" width="11.42578125" style="24"/>
    <col min="10507" max="10507" width="12.85546875" style="24" customWidth="1"/>
    <col min="10508" max="10508" width="0.5703125" style="24" customWidth="1"/>
    <col min="10509" max="10752" width="11.42578125" style="24"/>
    <col min="10753" max="10753" width="3.7109375" style="24" customWidth="1"/>
    <col min="10754" max="10754" width="0.28515625" style="24" customWidth="1"/>
    <col min="10755" max="10759" width="11.42578125" style="24"/>
    <col min="10760" max="10760" width="27.28515625" style="24" customWidth="1"/>
    <col min="10761" max="10762" width="11.42578125" style="24"/>
    <col min="10763" max="10763" width="12.85546875" style="24" customWidth="1"/>
    <col min="10764" max="10764" width="0.5703125" style="24" customWidth="1"/>
    <col min="10765" max="11008" width="11.42578125" style="24"/>
    <col min="11009" max="11009" width="3.7109375" style="24" customWidth="1"/>
    <col min="11010" max="11010" width="0.28515625" style="24" customWidth="1"/>
    <col min="11011" max="11015" width="11.42578125" style="24"/>
    <col min="11016" max="11016" width="27.28515625" style="24" customWidth="1"/>
    <col min="11017" max="11018" width="11.42578125" style="24"/>
    <col min="11019" max="11019" width="12.85546875" style="24" customWidth="1"/>
    <col min="11020" max="11020" width="0.5703125" style="24" customWidth="1"/>
    <col min="11021" max="11264" width="11.42578125" style="24"/>
    <col min="11265" max="11265" width="3.7109375" style="24" customWidth="1"/>
    <col min="11266" max="11266" width="0.28515625" style="24" customWidth="1"/>
    <col min="11267" max="11271" width="11.42578125" style="24"/>
    <col min="11272" max="11272" width="27.28515625" style="24" customWidth="1"/>
    <col min="11273" max="11274" width="11.42578125" style="24"/>
    <col min="11275" max="11275" width="12.85546875" style="24" customWidth="1"/>
    <col min="11276" max="11276" width="0.5703125" style="24" customWidth="1"/>
    <col min="11277" max="11520" width="11.42578125" style="24"/>
    <col min="11521" max="11521" width="3.7109375" style="24" customWidth="1"/>
    <col min="11522" max="11522" width="0.28515625" style="24" customWidth="1"/>
    <col min="11523" max="11527" width="11.42578125" style="24"/>
    <col min="11528" max="11528" width="27.28515625" style="24" customWidth="1"/>
    <col min="11529" max="11530" width="11.42578125" style="24"/>
    <col min="11531" max="11531" width="12.85546875" style="24" customWidth="1"/>
    <col min="11532" max="11532" width="0.5703125" style="24" customWidth="1"/>
    <col min="11533" max="11776" width="11.42578125" style="24"/>
    <col min="11777" max="11777" width="3.7109375" style="24" customWidth="1"/>
    <col min="11778" max="11778" width="0.28515625" style="24" customWidth="1"/>
    <col min="11779" max="11783" width="11.42578125" style="24"/>
    <col min="11784" max="11784" width="27.28515625" style="24" customWidth="1"/>
    <col min="11785" max="11786" width="11.42578125" style="24"/>
    <col min="11787" max="11787" width="12.85546875" style="24" customWidth="1"/>
    <col min="11788" max="11788" width="0.5703125" style="24" customWidth="1"/>
    <col min="11789" max="12032" width="11.42578125" style="24"/>
    <col min="12033" max="12033" width="3.7109375" style="24" customWidth="1"/>
    <col min="12034" max="12034" width="0.28515625" style="24" customWidth="1"/>
    <col min="12035" max="12039" width="11.42578125" style="24"/>
    <col min="12040" max="12040" width="27.28515625" style="24" customWidth="1"/>
    <col min="12041" max="12042" width="11.42578125" style="24"/>
    <col min="12043" max="12043" width="12.85546875" style="24" customWidth="1"/>
    <col min="12044" max="12044" width="0.5703125" style="24" customWidth="1"/>
    <col min="12045" max="12288" width="11.42578125" style="24"/>
    <col min="12289" max="12289" width="3.7109375" style="24" customWidth="1"/>
    <col min="12290" max="12290" width="0.28515625" style="24" customWidth="1"/>
    <col min="12291" max="12295" width="11.42578125" style="24"/>
    <col min="12296" max="12296" width="27.28515625" style="24" customWidth="1"/>
    <col min="12297" max="12298" width="11.42578125" style="24"/>
    <col min="12299" max="12299" width="12.85546875" style="24" customWidth="1"/>
    <col min="12300" max="12300" width="0.5703125" style="24" customWidth="1"/>
    <col min="12301" max="12544" width="11.42578125" style="24"/>
    <col min="12545" max="12545" width="3.7109375" style="24" customWidth="1"/>
    <col min="12546" max="12546" width="0.28515625" style="24" customWidth="1"/>
    <col min="12547" max="12551" width="11.42578125" style="24"/>
    <col min="12552" max="12552" width="27.28515625" style="24" customWidth="1"/>
    <col min="12553" max="12554" width="11.42578125" style="24"/>
    <col min="12555" max="12555" width="12.85546875" style="24" customWidth="1"/>
    <col min="12556" max="12556" width="0.5703125" style="24" customWidth="1"/>
    <col min="12557" max="12800" width="11.42578125" style="24"/>
    <col min="12801" max="12801" width="3.7109375" style="24" customWidth="1"/>
    <col min="12802" max="12802" width="0.28515625" style="24" customWidth="1"/>
    <col min="12803" max="12807" width="11.42578125" style="24"/>
    <col min="12808" max="12808" width="27.28515625" style="24" customWidth="1"/>
    <col min="12809" max="12810" width="11.42578125" style="24"/>
    <col min="12811" max="12811" width="12.85546875" style="24" customWidth="1"/>
    <col min="12812" max="12812" width="0.5703125" style="24" customWidth="1"/>
    <col min="12813" max="13056" width="11.42578125" style="24"/>
    <col min="13057" max="13057" width="3.7109375" style="24" customWidth="1"/>
    <col min="13058" max="13058" width="0.28515625" style="24" customWidth="1"/>
    <col min="13059" max="13063" width="11.42578125" style="24"/>
    <col min="13064" max="13064" width="27.28515625" style="24" customWidth="1"/>
    <col min="13065" max="13066" width="11.42578125" style="24"/>
    <col min="13067" max="13067" width="12.85546875" style="24" customWidth="1"/>
    <col min="13068" max="13068" width="0.5703125" style="24" customWidth="1"/>
    <col min="13069" max="13312" width="11.42578125" style="24"/>
    <col min="13313" max="13313" width="3.7109375" style="24" customWidth="1"/>
    <col min="13314" max="13314" width="0.28515625" style="24" customWidth="1"/>
    <col min="13315" max="13319" width="11.42578125" style="24"/>
    <col min="13320" max="13320" width="27.28515625" style="24" customWidth="1"/>
    <col min="13321" max="13322" width="11.42578125" style="24"/>
    <col min="13323" max="13323" width="12.85546875" style="24" customWidth="1"/>
    <col min="13324" max="13324" width="0.5703125" style="24" customWidth="1"/>
    <col min="13325" max="13568" width="11.42578125" style="24"/>
    <col min="13569" max="13569" width="3.7109375" style="24" customWidth="1"/>
    <col min="13570" max="13570" width="0.28515625" style="24" customWidth="1"/>
    <col min="13571" max="13575" width="11.42578125" style="24"/>
    <col min="13576" max="13576" width="27.28515625" style="24" customWidth="1"/>
    <col min="13577" max="13578" width="11.42578125" style="24"/>
    <col min="13579" max="13579" width="12.85546875" style="24" customWidth="1"/>
    <col min="13580" max="13580" width="0.5703125" style="24" customWidth="1"/>
    <col min="13581" max="13824" width="11.42578125" style="24"/>
    <col min="13825" max="13825" width="3.7109375" style="24" customWidth="1"/>
    <col min="13826" max="13826" width="0.28515625" style="24" customWidth="1"/>
    <col min="13827" max="13831" width="11.42578125" style="24"/>
    <col min="13832" max="13832" width="27.28515625" style="24" customWidth="1"/>
    <col min="13833" max="13834" width="11.42578125" style="24"/>
    <col min="13835" max="13835" width="12.85546875" style="24" customWidth="1"/>
    <col min="13836" max="13836" width="0.5703125" style="24" customWidth="1"/>
    <col min="13837" max="14080" width="11.42578125" style="24"/>
    <col min="14081" max="14081" width="3.7109375" style="24" customWidth="1"/>
    <col min="14082" max="14082" width="0.28515625" style="24" customWidth="1"/>
    <col min="14083" max="14087" width="11.42578125" style="24"/>
    <col min="14088" max="14088" width="27.28515625" style="24" customWidth="1"/>
    <col min="14089" max="14090" width="11.42578125" style="24"/>
    <col min="14091" max="14091" width="12.85546875" style="24" customWidth="1"/>
    <col min="14092" max="14092" width="0.5703125" style="24" customWidth="1"/>
    <col min="14093" max="14336" width="11.42578125" style="24"/>
    <col min="14337" max="14337" width="3.7109375" style="24" customWidth="1"/>
    <col min="14338" max="14338" width="0.28515625" style="24" customWidth="1"/>
    <col min="14339" max="14343" width="11.42578125" style="24"/>
    <col min="14344" max="14344" width="27.28515625" style="24" customWidth="1"/>
    <col min="14345" max="14346" width="11.42578125" style="24"/>
    <col min="14347" max="14347" width="12.85546875" style="24" customWidth="1"/>
    <col min="14348" max="14348" width="0.5703125" style="24" customWidth="1"/>
    <col min="14349" max="14592" width="11.42578125" style="24"/>
    <col min="14593" max="14593" width="3.7109375" style="24" customWidth="1"/>
    <col min="14594" max="14594" width="0.28515625" style="24" customWidth="1"/>
    <col min="14595" max="14599" width="11.42578125" style="24"/>
    <col min="14600" max="14600" width="27.28515625" style="24" customWidth="1"/>
    <col min="14601" max="14602" width="11.42578125" style="24"/>
    <col min="14603" max="14603" width="12.85546875" style="24" customWidth="1"/>
    <col min="14604" max="14604" width="0.5703125" style="24" customWidth="1"/>
    <col min="14605" max="14848" width="11.42578125" style="24"/>
    <col min="14849" max="14849" width="3.7109375" style="24" customWidth="1"/>
    <col min="14850" max="14850" width="0.28515625" style="24" customWidth="1"/>
    <col min="14851" max="14855" width="11.42578125" style="24"/>
    <col min="14856" max="14856" width="27.28515625" style="24" customWidth="1"/>
    <col min="14857" max="14858" width="11.42578125" style="24"/>
    <col min="14859" max="14859" width="12.85546875" style="24" customWidth="1"/>
    <col min="14860" max="14860" width="0.5703125" style="24" customWidth="1"/>
    <col min="14861" max="15104" width="11.42578125" style="24"/>
    <col min="15105" max="15105" width="3.7109375" style="24" customWidth="1"/>
    <col min="15106" max="15106" width="0.28515625" style="24" customWidth="1"/>
    <col min="15107" max="15111" width="11.42578125" style="24"/>
    <col min="15112" max="15112" width="27.28515625" style="24" customWidth="1"/>
    <col min="15113" max="15114" width="11.42578125" style="24"/>
    <col min="15115" max="15115" width="12.85546875" style="24" customWidth="1"/>
    <col min="15116" max="15116" width="0.5703125" style="24" customWidth="1"/>
    <col min="15117" max="15360" width="11.42578125" style="24"/>
    <col min="15361" max="15361" width="3.7109375" style="24" customWidth="1"/>
    <col min="15362" max="15362" width="0.28515625" style="24" customWidth="1"/>
    <col min="15363" max="15367" width="11.42578125" style="24"/>
    <col min="15368" max="15368" width="27.28515625" style="24" customWidth="1"/>
    <col min="15369" max="15370" width="11.42578125" style="24"/>
    <col min="15371" max="15371" width="12.85546875" style="24" customWidth="1"/>
    <col min="15372" max="15372" width="0.5703125" style="24" customWidth="1"/>
    <col min="15373" max="15616" width="11.42578125" style="24"/>
    <col min="15617" max="15617" width="3.7109375" style="24" customWidth="1"/>
    <col min="15618" max="15618" width="0.28515625" style="24" customWidth="1"/>
    <col min="15619" max="15623" width="11.42578125" style="24"/>
    <col min="15624" max="15624" width="27.28515625" style="24" customWidth="1"/>
    <col min="15625" max="15626" width="11.42578125" style="24"/>
    <col min="15627" max="15627" width="12.85546875" style="24" customWidth="1"/>
    <col min="15628" max="15628" width="0.5703125" style="24" customWidth="1"/>
    <col min="15629" max="15872" width="11.42578125" style="24"/>
    <col min="15873" max="15873" width="3.7109375" style="24" customWidth="1"/>
    <col min="15874" max="15874" width="0.28515625" style="24" customWidth="1"/>
    <col min="15875" max="15879" width="11.42578125" style="24"/>
    <col min="15880" max="15880" width="27.28515625" style="24" customWidth="1"/>
    <col min="15881" max="15882" width="11.42578125" style="24"/>
    <col min="15883" max="15883" width="12.85546875" style="24" customWidth="1"/>
    <col min="15884" max="15884" width="0.5703125" style="24" customWidth="1"/>
    <col min="15885" max="16128" width="11.42578125" style="24"/>
    <col min="16129" max="16129" width="3.7109375" style="24" customWidth="1"/>
    <col min="16130" max="16130" width="0.28515625" style="24" customWidth="1"/>
    <col min="16131" max="16135" width="11.42578125" style="24"/>
    <col min="16136" max="16136" width="27.28515625" style="24" customWidth="1"/>
    <col min="16137" max="16138" width="11.42578125" style="24"/>
    <col min="16139" max="16139" width="12.85546875" style="24" customWidth="1"/>
    <col min="16140" max="16140" width="0.5703125" style="24" customWidth="1"/>
    <col min="16141" max="16384" width="11.42578125" style="24"/>
  </cols>
  <sheetData>
    <row r="2" spans="2:12" ht="2.25" customHeight="1" x14ac:dyDescent="0.25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2:12" ht="18.75" x14ac:dyDescent="0.3">
      <c r="B3" s="25"/>
      <c r="C3" s="60" t="s">
        <v>22</v>
      </c>
      <c r="D3" s="60"/>
      <c r="E3" s="60"/>
      <c r="F3" s="60"/>
      <c r="G3" s="60"/>
      <c r="H3" s="60"/>
      <c r="I3" s="60"/>
      <c r="J3" s="60"/>
      <c r="K3" s="60"/>
      <c r="L3" s="25"/>
    </row>
    <row r="4" spans="2:12" x14ac:dyDescent="0.25">
      <c r="B4" s="25"/>
      <c r="C4" s="26" t="s">
        <v>23</v>
      </c>
      <c r="L4" s="25"/>
    </row>
    <row r="5" spans="2:12" ht="15" customHeight="1" x14ac:dyDescent="0.25">
      <c r="B5" s="25"/>
      <c r="C5" s="24" t="s">
        <v>25</v>
      </c>
      <c r="L5" s="25"/>
    </row>
    <row r="6" spans="2:12" x14ac:dyDescent="0.25">
      <c r="B6" s="25"/>
      <c r="C6" s="24" t="s">
        <v>26</v>
      </c>
      <c r="L6" s="25"/>
    </row>
    <row r="7" spans="2:12" x14ac:dyDescent="0.25">
      <c r="B7" s="25"/>
      <c r="C7" s="24" t="s">
        <v>27</v>
      </c>
      <c r="L7" s="25"/>
    </row>
    <row r="8" spans="2:12" x14ac:dyDescent="0.25">
      <c r="B8" s="25"/>
      <c r="C8" s="24" t="s">
        <v>28</v>
      </c>
      <c r="L8" s="25"/>
    </row>
    <row r="9" spans="2:12" ht="6" customHeight="1" x14ac:dyDescent="0.25">
      <c r="B9" s="25"/>
      <c r="L9" s="25"/>
    </row>
    <row r="10" spans="2:12" x14ac:dyDescent="0.25">
      <c r="B10" s="25"/>
      <c r="C10" s="27" t="s">
        <v>29</v>
      </c>
      <c r="L10" s="25"/>
    </row>
    <row r="11" spans="2:12" x14ac:dyDescent="0.25">
      <c r="B11" s="25"/>
      <c r="C11" s="24" t="s">
        <v>35</v>
      </c>
      <c r="L11" s="25"/>
    </row>
    <row r="12" spans="2:12" x14ac:dyDescent="0.25">
      <c r="B12" s="25"/>
      <c r="C12" s="24" t="s">
        <v>30</v>
      </c>
      <c r="L12" s="25"/>
    </row>
    <row r="13" spans="2:12" x14ac:dyDescent="0.25">
      <c r="B13" s="25"/>
      <c r="C13" s="24" t="s">
        <v>37</v>
      </c>
      <c r="L13" s="25"/>
    </row>
    <row r="14" spans="2:12" x14ac:dyDescent="0.25">
      <c r="B14" s="25"/>
      <c r="C14" s="24" t="s">
        <v>36</v>
      </c>
      <c r="L14" s="25"/>
    </row>
    <row r="15" spans="2:12" ht="17.25" customHeight="1" x14ac:dyDescent="0.25">
      <c r="B15" s="25"/>
      <c r="C15" s="24" t="s">
        <v>47</v>
      </c>
      <c r="L15" s="25"/>
    </row>
    <row r="16" spans="2:12" ht="17.25" customHeight="1" x14ac:dyDescent="0.25">
      <c r="B16" s="25"/>
      <c r="C16" s="24" t="s">
        <v>48</v>
      </c>
      <c r="L16" s="25"/>
    </row>
    <row r="17" spans="2:12" ht="17.25" customHeight="1" x14ac:dyDescent="0.25">
      <c r="B17" s="25"/>
      <c r="C17" s="24" t="s">
        <v>49</v>
      </c>
      <c r="L17" s="25"/>
    </row>
    <row r="18" spans="2:12" ht="17.25" customHeight="1" x14ac:dyDescent="0.25">
      <c r="B18" s="25"/>
      <c r="C18" s="24" t="s">
        <v>33</v>
      </c>
      <c r="L18" s="25"/>
    </row>
    <row r="19" spans="2:12" ht="17.25" customHeight="1" x14ac:dyDescent="0.25">
      <c r="B19" s="25"/>
      <c r="C19" s="24" t="s">
        <v>38</v>
      </c>
      <c r="L19" s="25"/>
    </row>
    <row r="20" spans="2:12" ht="17.25" customHeight="1" x14ac:dyDescent="0.25">
      <c r="B20" s="25"/>
      <c r="C20" s="24" t="s">
        <v>39</v>
      </c>
      <c r="L20" s="25"/>
    </row>
    <row r="21" spans="2:12" ht="17.25" customHeight="1" x14ac:dyDescent="0.25">
      <c r="B21" s="25"/>
      <c r="C21" s="24" t="s">
        <v>40</v>
      </c>
      <c r="L21" s="25"/>
    </row>
    <row r="22" spans="2:12" ht="17.25" customHeight="1" x14ac:dyDescent="0.25">
      <c r="B22" s="25"/>
      <c r="C22" s="24" t="s">
        <v>34</v>
      </c>
      <c r="L22" s="25"/>
    </row>
    <row r="23" spans="2:12" ht="17.25" customHeight="1" x14ac:dyDescent="0.25">
      <c r="B23" s="25"/>
      <c r="C23" s="24" t="s">
        <v>54</v>
      </c>
      <c r="L23" s="25"/>
    </row>
    <row r="24" spans="2:12" x14ac:dyDescent="0.25">
      <c r="B24" s="25"/>
      <c r="L24" s="25"/>
    </row>
    <row r="25" spans="2:12" x14ac:dyDescent="0.25">
      <c r="B25" s="25"/>
      <c r="C25" s="26" t="s">
        <v>24</v>
      </c>
      <c r="L25" s="25"/>
    </row>
    <row r="26" spans="2:12" x14ac:dyDescent="0.25">
      <c r="B26" s="25"/>
      <c r="C26" s="24" t="s">
        <v>41</v>
      </c>
      <c r="L26" s="25"/>
    </row>
    <row r="27" spans="2:12" x14ac:dyDescent="0.25">
      <c r="B27" s="25"/>
      <c r="C27" s="24" t="s">
        <v>42</v>
      </c>
      <c r="L27" s="25"/>
    </row>
    <row r="28" spans="2:12" x14ac:dyDescent="0.25">
      <c r="B28" s="25"/>
      <c r="C28" s="24" t="s">
        <v>43</v>
      </c>
      <c r="L28" s="25"/>
    </row>
    <row r="29" spans="2:12" x14ac:dyDescent="0.25">
      <c r="B29" s="25"/>
      <c r="C29" s="24" t="s">
        <v>44</v>
      </c>
      <c r="L29" s="25"/>
    </row>
    <row r="30" spans="2:12" ht="17.25" customHeight="1" x14ac:dyDescent="0.25">
      <c r="B30" s="25"/>
      <c r="C30" s="24" t="s">
        <v>45</v>
      </c>
      <c r="L30" s="25"/>
    </row>
    <row r="31" spans="2:12" x14ac:dyDescent="0.25">
      <c r="B31" s="25"/>
      <c r="C31" s="24" t="s">
        <v>50</v>
      </c>
      <c r="L31" s="25"/>
    </row>
    <row r="32" spans="2:12" x14ac:dyDescent="0.25">
      <c r="B32" s="25"/>
      <c r="C32" s="24" t="s">
        <v>51</v>
      </c>
      <c r="L32" s="25"/>
    </row>
    <row r="33" spans="2:12" x14ac:dyDescent="0.25">
      <c r="B33" s="25"/>
      <c r="L33" s="25"/>
    </row>
    <row r="34" spans="2:12" x14ac:dyDescent="0.25">
      <c r="B34" s="25"/>
      <c r="C34" s="24" t="s">
        <v>52</v>
      </c>
      <c r="L34" s="25"/>
    </row>
    <row r="35" spans="2:12" x14ac:dyDescent="0.25">
      <c r="B35" s="25"/>
      <c r="C35" s="24" t="s">
        <v>55</v>
      </c>
      <c r="L35" s="25"/>
    </row>
    <row r="36" spans="2:12" x14ac:dyDescent="0.25">
      <c r="B36" s="25"/>
      <c r="C36" s="24" t="s">
        <v>56</v>
      </c>
      <c r="L36" s="25"/>
    </row>
    <row r="37" spans="2:12" x14ac:dyDescent="0.25">
      <c r="B37" s="25"/>
      <c r="C37" s="24" t="s">
        <v>57</v>
      </c>
      <c r="L37" s="25"/>
    </row>
    <row r="38" spans="2:12" x14ac:dyDescent="0.25">
      <c r="B38" s="25"/>
      <c r="C38" s="24" t="s">
        <v>58</v>
      </c>
      <c r="L38" s="25"/>
    </row>
    <row r="39" spans="2:12" x14ac:dyDescent="0.25">
      <c r="B39" s="25"/>
      <c r="C39" s="24" t="s">
        <v>53</v>
      </c>
      <c r="L39" s="25"/>
    </row>
    <row r="40" spans="2:12" x14ac:dyDescent="0.25">
      <c r="B40" s="25"/>
      <c r="L40" s="25"/>
    </row>
    <row r="41" spans="2:12" x14ac:dyDescent="0.25">
      <c r="B41" s="25"/>
      <c r="C41" s="26" t="s">
        <v>61</v>
      </c>
      <c r="L41" s="25"/>
    </row>
    <row r="42" spans="2:12" x14ac:dyDescent="0.25">
      <c r="B42" s="25"/>
      <c r="C42" s="24" t="s">
        <v>62</v>
      </c>
      <c r="L42" s="25"/>
    </row>
    <row r="43" spans="2:12" x14ac:dyDescent="0.25">
      <c r="B43" s="25"/>
      <c r="C43" s="24" t="s">
        <v>64</v>
      </c>
      <c r="L43" s="25"/>
    </row>
    <row r="44" spans="2:12" x14ac:dyDescent="0.25">
      <c r="B44" s="25"/>
      <c r="C44" s="24" t="s">
        <v>63</v>
      </c>
      <c r="L44" s="25"/>
    </row>
    <row r="45" spans="2:12" x14ac:dyDescent="0.25">
      <c r="B45" s="25"/>
      <c r="L45" s="25"/>
    </row>
    <row r="46" spans="2:12" ht="2.25" customHeight="1" x14ac:dyDescent="0.25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</sheetData>
  <mergeCells count="1">
    <mergeCell ref="C3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4"/>
  <sheetViews>
    <sheetView showGridLines="0" tabSelected="1" topLeftCell="A22" zoomScale="85" zoomScaleNormal="85" workbookViewId="0">
      <selection activeCell="C23" sqref="C23"/>
    </sheetView>
  </sheetViews>
  <sheetFormatPr baseColWidth="10" defaultColWidth="4.28515625" defaultRowHeight="15" outlineLevelCol="1" x14ac:dyDescent="0.25"/>
  <cols>
    <col min="1" max="1" width="4.42578125" customWidth="1"/>
    <col min="2" max="2" width="4.7109375" customWidth="1"/>
    <col min="3" max="3" width="97.7109375" bestFit="1" customWidth="1"/>
    <col min="4" max="5" width="13.7109375" customWidth="1"/>
    <col min="6" max="6" width="14.42578125" customWidth="1"/>
    <col min="7" max="7" width="13.5703125" customWidth="1"/>
    <col min="8" max="8" width="14.7109375" customWidth="1"/>
    <col min="9" max="9" width="13.5703125" customWidth="1"/>
    <col min="10" max="10" width="25.5703125" customWidth="1"/>
    <col min="11" max="12" width="15.7109375" customWidth="1"/>
    <col min="13" max="13" width="30.28515625" customWidth="1"/>
    <col min="14" max="14" width="3.85546875" customWidth="1"/>
    <col min="15" max="107" width="3.140625" customWidth="1"/>
    <col min="109" max="109" width="9.28515625" bestFit="1" customWidth="1" outlineLevel="1"/>
    <col min="110" max="110" width="9.140625" bestFit="1" customWidth="1" outlineLevel="1"/>
  </cols>
  <sheetData>
    <row r="1" spans="1:113" ht="45" customHeight="1" thickBot="1" x14ac:dyDescent="0.3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</row>
    <row r="2" spans="1:113" ht="25.5" customHeight="1" thickBot="1" x14ac:dyDescent="0.3">
      <c r="B2" s="39"/>
      <c r="C2" s="40"/>
      <c r="D2" s="43"/>
      <c r="E2" s="43"/>
      <c r="F2" s="43"/>
      <c r="G2" s="43"/>
      <c r="H2" s="43"/>
      <c r="I2" s="43"/>
      <c r="J2" s="43"/>
      <c r="K2" s="43"/>
      <c r="L2" s="43"/>
      <c r="M2" s="44"/>
    </row>
    <row r="3" spans="1:113" ht="23.25" customHeight="1" x14ac:dyDescent="0.25">
      <c r="B3" s="65" t="s">
        <v>65</v>
      </c>
      <c r="C3" s="66"/>
      <c r="D3" s="67" t="s">
        <v>85</v>
      </c>
      <c r="E3" s="67"/>
      <c r="F3" s="67"/>
      <c r="G3" s="67"/>
      <c r="H3" s="68"/>
      <c r="I3" s="35"/>
      <c r="J3" s="35"/>
      <c r="K3" s="35"/>
      <c r="L3" s="35"/>
      <c r="M3" s="45"/>
    </row>
    <row r="4" spans="1:113" ht="23.25" customHeight="1" x14ac:dyDescent="0.25">
      <c r="B4" s="63" t="s">
        <v>66</v>
      </c>
      <c r="C4" s="64"/>
      <c r="D4" s="69">
        <v>45966</v>
      </c>
      <c r="E4" s="69"/>
      <c r="F4" s="69"/>
      <c r="G4" s="69"/>
      <c r="H4" s="70"/>
      <c r="I4" s="35"/>
      <c r="J4" s="35"/>
      <c r="K4" s="35"/>
      <c r="L4" s="35"/>
      <c r="M4" s="45"/>
      <c r="P4" s="13"/>
      <c r="Q4" s="13"/>
      <c r="R4" s="13"/>
      <c r="S4" s="15"/>
      <c r="T4" s="15"/>
    </row>
    <row r="5" spans="1:113" ht="23.25" customHeight="1" x14ac:dyDescent="0.25">
      <c r="A5" s="57"/>
      <c r="B5" s="63" t="s">
        <v>67</v>
      </c>
      <c r="C5" s="64"/>
      <c r="D5" s="71">
        <v>25</v>
      </c>
      <c r="E5" s="71"/>
      <c r="F5" s="71"/>
      <c r="G5" s="71"/>
      <c r="H5" s="72"/>
      <c r="I5" s="35"/>
      <c r="J5" s="35"/>
      <c r="K5" s="35"/>
      <c r="L5" s="35"/>
      <c r="M5" s="45"/>
      <c r="O5" s="13"/>
      <c r="P5" s="13"/>
      <c r="Q5" s="13"/>
      <c r="R5" s="13"/>
      <c r="S5" s="15"/>
      <c r="T5" s="15"/>
    </row>
    <row r="6" spans="1:113" ht="23.25" customHeight="1" thickBot="1" x14ac:dyDescent="0.3">
      <c r="B6" s="61" t="s">
        <v>68</v>
      </c>
      <c r="C6" s="62"/>
      <c r="D6" s="73">
        <f>IF(D4="","",D4+D5)</f>
        <v>45991</v>
      </c>
      <c r="E6" s="73"/>
      <c r="F6" s="73"/>
      <c r="G6" s="73"/>
      <c r="H6" s="74"/>
      <c r="I6" s="35"/>
      <c r="J6" s="35"/>
      <c r="K6" s="35"/>
      <c r="L6" s="35"/>
      <c r="M6" s="45"/>
      <c r="O6" s="13"/>
      <c r="P6" s="13"/>
      <c r="Q6" s="13"/>
      <c r="R6" s="13"/>
      <c r="S6" s="15"/>
      <c r="T6" s="15"/>
    </row>
    <row r="7" spans="1:113" ht="23.25" customHeight="1" thickBot="1" x14ac:dyDescent="0.3">
      <c r="B7" s="41"/>
      <c r="C7" s="42"/>
      <c r="D7" s="46"/>
      <c r="E7" s="46"/>
      <c r="F7" s="46"/>
      <c r="G7" s="46"/>
      <c r="H7" s="46"/>
      <c r="I7" s="47"/>
      <c r="J7" s="47"/>
      <c r="K7" s="47"/>
      <c r="L7" s="47"/>
      <c r="M7" s="48"/>
      <c r="O7" s="13"/>
      <c r="P7" s="13"/>
      <c r="Q7" s="13"/>
      <c r="R7" s="13"/>
      <c r="S7" s="15"/>
      <c r="T7" s="15"/>
    </row>
    <row r="8" spans="1:113" s="1" customFormat="1" ht="69" customHeight="1" thickBot="1" x14ac:dyDescent="0.3">
      <c r="B8" s="50" t="s">
        <v>0</v>
      </c>
      <c r="C8" s="51" t="s">
        <v>69</v>
      </c>
      <c r="D8" s="51" t="s">
        <v>70</v>
      </c>
      <c r="E8" s="51" t="s">
        <v>31</v>
      </c>
      <c r="F8" s="51" t="s">
        <v>46</v>
      </c>
      <c r="G8" s="51" t="s">
        <v>32</v>
      </c>
      <c r="H8" s="51" t="s">
        <v>14</v>
      </c>
      <c r="I8" s="51" t="s">
        <v>15</v>
      </c>
      <c r="J8" s="51" t="s">
        <v>8</v>
      </c>
      <c r="K8" s="51" t="s">
        <v>2</v>
      </c>
      <c r="L8" s="51" t="s">
        <v>1</v>
      </c>
      <c r="M8" s="52" t="s">
        <v>59</v>
      </c>
      <c r="O8" s="53">
        <f>D4</f>
        <v>45966</v>
      </c>
      <c r="P8" s="54">
        <f>O8+1</f>
        <v>45967</v>
      </c>
      <c r="Q8" s="54">
        <f t="shared" ref="Q8:AO8" si="0">P8+1</f>
        <v>45968</v>
      </c>
      <c r="R8" s="54">
        <f t="shared" si="0"/>
        <v>45969</v>
      </c>
      <c r="S8" s="54">
        <f t="shared" si="0"/>
        <v>45970</v>
      </c>
      <c r="T8" s="54">
        <f t="shared" si="0"/>
        <v>45971</v>
      </c>
      <c r="U8" s="54">
        <f t="shared" si="0"/>
        <v>45972</v>
      </c>
      <c r="V8" s="54">
        <f t="shared" si="0"/>
        <v>45973</v>
      </c>
      <c r="W8" s="54">
        <f t="shared" si="0"/>
        <v>45974</v>
      </c>
      <c r="X8" s="54">
        <f t="shared" si="0"/>
        <v>45975</v>
      </c>
      <c r="Y8" s="54">
        <f t="shared" si="0"/>
        <v>45976</v>
      </c>
      <c r="Z8" s="54">
        <f t="shared" si="0"/>
        <v>45977</v>
      </c>
      <c r="AA8" s="54">
        <f t="shared" si="0"/>
        <v>45978</v>
      </c>
      <c r="AB8" s="54">
        <f t="shared" si="0"/>
        <v>45979</v>
      </c>
      <c r="AC8" s="54">
        <f t="shared" si="0"/>
        <v>45980</v>
      </c>
      <c r="AD8" s="54">
        <f t="shared" si="0"/>
        <v>45981</v>
      </c>
      <c r="AE8" s="54">
        <f t="shared" si="0"/>
        <v>45982</v>
      </c>
      <c r="AF8" s="54">
        <f t="shared" si="0"/>
        <v>45983</v>
      </c>
      <c r="AG8" s="54">
        <f t="shared" si="0"/>
        <v>45984</v>
      </c>
      <c r="AH8" s="54">
        <f t="shared" si="0"/>
        <v>45985</v>
      </c>
      <c r="AI8" s="54">
        <f t="shared" si="0"/>
        <v>45986</v>
      </c>
      <c r="AJ8" s="54">
        <f t="shared" si="0"/>
        <v>45987</v>
      </c>
      <c r="AK8" s="54">
        <f t="shared" si="0"/>
        <v>45988</v>
      </c>
      <c r="AL8" s="54">
        <f t="shared" si="0"/>
        <v>45989</v>
      </c>
      <c r="AM8" s="54">
        <f t="shared" si="0"/>
        <v>45990</v>
      </c>
      <c r="AN8" s="54">
        <f t="shared" si="0"/>
        <v>45991</v>
      </c>
      <c r="AO8" s="54">
        <f t="shared" si="0"/>
        <v>45992</v>
      </c>
      <c r="AP8" s="54">
        <f t="shared" ref="AP8" si="1">AO8+1</f>
        <v>45993</v>
      </c>
      <c r="AQ8" s="54">
        <f t="shared" ref="AQ8" si="2">AP8+1</f>
        <v>45994</v>
      </c>
      <c r="AR8" s="54">
        <f t="shared" ref="AR8" si="3">AQ8+1</f>
        <v>45995</v>
      </c>
      <c r="AS8" s="54">
        <f t="shared" ref="AS8" si="4">AR8+1</f>
        <v>45996</v>
      </c>
      <c r="AT8" s="54">
        <f t="shared" ref="AT8" si="5">AS8+1</f>
        <v>45997</v>
      </c>
      <c r="AU8" s="54">
        <f t="shared" ref="AU8" si="6">AT8+1</f>
        <v>45998</v>
      </c>
      <c r="AV8" s="54">
        <f t="shared" ref="AV8" si="7">AU8+1</f>
        <v>45999</v>
      </c>
      <c r="AW8" s="54">
        <f t="shared" ref="AW8" si="8">AV8+1</f>
        <v>46000</v>
      </c>
      <c r="AX8" s="54">
        <f t="shared" ref="AX8" si="9">AW8+1</f>
        <v>46001</v>
      </c>
      <c r="AY8" s="54">
        <f t="shared" ref="AY8" si="10">AX8+1</f>
        <v>46002</v>
      </c>
      <c r="AZ8" s="54">
        <f t="shared" ref="AZ8" si="11">AY8+1</f>
        <v>46003</v>
      </c>
      <c r="BA8" s="54">
        <f t="shared" ref="BA8" si="12">AZ8+1</f>
        <v>46004</v>
      </c>
      <c r="BB8" s="54">
        <f t="shared" ref="BB8" si="13">BA8+1</f>
        <v>46005</v>
      </c>
      <c r="BC8" s="54">
        <f t="shared" ref="BC8" si="14">BB8+1</f>
        <v>46006</v>
      </c>
      <c r="BD8" s="54">
        <f t="shared" ref="BD8" si="15">BC8+1</f>
        <v>46007</v>
      </c>
      <c r="BE8" s="54">
        <f t="shared" ref="BE8" si="16">BD8+1</f>
        <v>46008</v>
      </c>
      <c r="BF8" s="54">
        <f t="shared" ref="BF8" si="17">BE8+1</f>
        <v>46009</v>
      </c>
      <c r="BG8" s="54">
        <f t="shared" ref="BG8" si="18">BF8+1</f>
        <v>46010</v>
      </c>
      <c r="BH8" s="54">
        <f>BG8+1</f>
        <v>46011</v>
      </c>
      <c r="BI8" s="54">
        <f t="shared" ref="BI8" si="19">BH8+1</f>
        <v>46012</v>
      </c>
      <c r="BJ8" s="54">
        <f t="shared" ref="BJ8" si="20">BI8+1</f>
        <v>46013</v>
      </c>
      <c r="BK8" s="54">
        <f>BJ8+1</f>
        <v>46014</v>
      </c>
      <c r="BL8" s="54">
        <f t="shared" ref="BL8" si="21">BK8+1</f>
        <v>46015</v>
      </c>
      <c r="BM8" s="54">
        <f t="shared" ref="BM8" si="22">BL8+1</f>
        <v>46016</v>
      </c>
      <c r="BN8" s="54">
        <f t="shared" ref="BN8" si="23">BM8+1</f>
        <v>46017</v>
      </c>
      <c r="BO8" s="54">
        <f t="shared" ref="BO8" si="24">BN8+1</f>
        <v>46018</v>
      </c>
      <c r="BP8" s="54">
        <f t="shared" ref="BP8" si="25">BO8+1</f>
        <v>46019</v>
      </c>
      <c r="BQ8" s="54">
        <f t="shared" ref="BQ8" si="26">BP8+1</f>
        <v>46020</v>
      </c>
      <c r="BR8" s="54">
        <f t="shared" ref="BR8" si="27">BQ8+1</f>
        <v>46021</v>
      </c>
      <c r="BS8" s="54">
        <f t="shared" ref="BS8" si="28">BR8+1</f>
        <v>46022</v>
      </c>
      <c r="BT8" s="54">
        <f t="shared" ref="BT8" si="29">BS8+1</f>
        <v>46023</v>
      </c>
      <c r="BU8" s="54">
        <f t="shared" ref="BU8" si="30">BT8+1</f>
        <v>46024</v>
      </c>
      <c r="BV8" s="54">
        <f t="shared" ref="BV8" si="31">BU8+1</f>
        <v>46025</v>
      </c>
      <c r="BW8" s="54">
        <f t="shared" ref="BW8" si="32">BV8+1</f>
        <v>46026</v>
      </c>
      <c r="BX8" s="54">
        <f t="shared" ref="BX8" si="33">BW8+1</f>
        <v>46027</v>
      </c>
      <c r="BY8" s="54">
        <f t="shared" ref="BY8" si="34">BX8+1</f>
        <v>46028</v>
      </c>
      <c r="BZ8" s="54">
        <f t="shared" ref="BZ8" si="35">BY8+1</f>
        <v>46029</v>
      </c>
      <c r="CA8" s="54">
        <f t="shared" ref="CA8" si="36">BZ8+1</f>
        <v>46030</v>
      </c>
      <c r="CB8" s="54">
        <f t="shared" ref="CB8" si="37">CA8+1</f>
        <v>46031</v>
      </c>
      <c r="CC8" s="54">
        <f t="shared" ref="CC8" si="38">CB8+1</f>
        <v>46032</v>
      </c>
      <c r="CD8" s="54">
        <f t="shared" ref="CD8" si="39">CC8+1</f>
        <v>46033</v>
      </c>
      <c r="CE8" s="54">
        <f t="shared" ref="CE8" si="40">CD8+1</f>
        <v>46034</v>
      </c>
      <c r="CF8" s="54">
        <f t="shared" ref="CF8" si="41">CE8+1</f>
        <v>46035</v>
      </c>
      <c r="CG8" s="54">
        <f t="shared" ref="CG8" si="42">CF8+1</f>
        <v>46036</v>
      </c>
      <c r="CH8" s="54">
        <f t="shared" ref="CH8" si="43">CG8+1</f>
        <v>46037</v>
      </c>
      <c r="CI8" s="54">
        <f t="shared" ref="CI8" si="44">CH8+1</f>
        <v>46038</v>
      </c>
      <c r="CJ8" s="54">
        <f t="shared" ref="CJ8" si="45">CI8+1</f>
        <v>46039</v>
      </c>
      <c r="CK8" s="54">
        <f t="shared" ref="CK8" si="46">CJ8+1</f>
        <v>46040</v>
      </c>
      <c r="CL8" s="54">
        <f t="shared" ref="CL8" si="47">CK8+1</f>
        <v>46041</v>
      </c>
      <c r="CM8" s="54">
        <f t="shared" ref="CM8" si="48">CL8+1</f>
        <v>46042</v>
      </c>
      <c r="CN8" s="54">
        <f t="shared" ref="CN8" si="49">CM8+1</f>
        <v>46043</v>
      </c>
      <c r="CO8" s="54">
        <f t="shared" ref="CO8" si="50">CN8+1</f>
        <v>46044</v>
      </c>
      <c r="CP8" s="54">
        <f t="shared" ref="CP8" si="51">CO8+1</f>
        <v>46045</v>
      </c>
      <c r="CQ8" s="54">
        <f t="shared" ref="CQ8" si="52">CP8+1</f>
        <v>46046</v>
      </c>
      <c r="CR8" s="54">
        <f t="shared" ref="CR8" si="53">CQ8+1</f>
        <v>46047</v>
      </c>
      <c r="CS8" s="54">
        <f t="shared" ref="CS8" si="54">CR8+1</f>
        <v>46048</v>
      </c>
      <c r="CT8" s="54">
        <f t="shared" ref="CT8" si="55">CS8+1</f>
        <v>46049</v>
      </c>
      <c r="CU8" s="54">
        <f t="shared" ref="CU8" si="56">CT8+1</f>
        <v>46050</v>
      </c>
      <c r="CV8" s="54">
        <f t="shared" ref="CV8" si="57">CU8+1</f>
        <v>46051</v>
      </c>
      <c r="CW8" s="54">
        <f t="shared" ref="CW8" si="58">CV8+1</f>
        <v>46052</v>
      </c>
      <c r="CX8" s="54">
        <f t="shared" ref="CX8" si="59">CW8+1</f>
        <v>46053</v>
      </c>
      <c r="CY8" s="54">
        <f t="shared" ref="CY8" si="60">CX8+1</f>
        <v>46054</v>
      </c>
      <c r="CZ8" s="54">
        <f t="shared" ref="CZ8" si="61">CY8+1</f>
        <v>46055</v>
      </c>
      <c r="DA8" s="54">
        <f t="shared" ref="DA8" si="62">CZ8+1</f>
        <v>46056</v>
      </c>
      <c r="DB8" s="54">
        <f t="shared" ref="DB8" si="63">DA8+1</f>
        <v>46057</v>
      </c>
      <c r="DC8" s="54">
        <f t="shared" ref="DC8" si="64">DB8+1</f>
        <v>46058</v>
      </c>
      <c r="DD8" s="14"/>
      <c r="DE8" s="22" t="s">
        <v>20</v>
      </c>
      <c r="DF8" s="22" t="s">
        <v>21</v>
      </c>
      <c r="DG8" s="14"/>
      <c r="DH8" s="14"/>
      <c r="DI8" s="14"/>
    </row>
    <row r="9" spans="1:113" ht="15.75" x14ac:dyDescent="0.25">
      <c r="B9" s="28">
        <f>IF(C9="","",1)</f>
        <v>1</v>
      </c>
      <c r="C9" s="56" t="s">
        <v>73</v>
      </c>
      <c r="D9" s="31">
        <v>2</v>
      </c>
      <c r="E9" s="31" t="s">
        <v>16</v>
      </c>
      <c r="F9" s="31" t="s">
        <v>71</v>
      </c>
      <c r="G9" s="33">
        <v>0</v>
      </c>
      <c r="H9" s="29">
        <f>IF(OR(C9="",D9="",G9=""),"",D4+G9)</f>
        <v>45966</v>
      </c>
      <c r="I9" s="29">
        <f>IF(H9="","",H9+D9-1)</f>
        <v>45967</v>
      </c>
      <c r="J9" s="58" t="s">
        <v>127</v>
      </c>
      <c r="K9" s="31" t="s">
        <v>9</v>
      </c>
      <c r="L9" s="34"/>
      <c r="M9" s="30" t="str">
        <f>IF(H9="","",IF(AND(K9="Completado",L9=""),"Completar fecha de finalización",IF(AND(K9="Completado",L9&lt;&gt;""),L9-H9+1,"")))</f>
        <v/>
      </c>
      <c r="O9" s="59" t="str">
        <f>IF(AND(O$8&gt;=$H9,O$8&lt;=$I9),"x","")</f>
        <v>x</v>
      </c>
      <c r="P9" s="49" t="str">
        <f t="shared" ref="P9:AQ12" si="65">IF(AND(P$8&gt;=$H9,P$8&lt;=$I9),"x","")</f>
        <v>x</v>
      </c>
      <c r="Q9" s="49" t="str">
        <f t="shared" si="65"/>
        <v/>
      </c>
      <c r="R9" s="49" t="str">
        <f t="shared" si="65"/>
        <v/>
      </c>
      <c r="S9" s="49" t="str">
        <f t="shared" si="65"/>
        <v/>
      </c>
      <c r="T9" s="49" t="str">
        <f t="shared" si="65"/>
        <v/>
      </c>
      <c r="U9" s="49" t="str">
        <f t="shared" si="65"/>
        <v/>
      </c>
      <c r="V9" s="49" t="str">
        <f t="shared" si="65"/>
        <v/>
      </c>
      <c r="W9" s="49" t="str">
        <f t="shared" si="65"/>
        <v/>
      </c>
      <c r="X9" s="49" t="str">
        <f t="shared" si="65"/>
        <v/>
      </c>
      <c r="Y9" s="49" t="str">
        <f t="shared" si="65"/>
        <v/>
      </c>
      <c r="Z9" s="49" t="str">
        <f t="shared" si="65"/>
        <v/>
      </c>
      <c r="AA9" s="49" t="str">
        <f t="shared" si="65"/>
        <v/>
      </c>
      <c r="AB9" s="49" t="str">
        <f t="shared" si="65"/>
        <v/>
      </c>
      <c r="AC9" s="49" t="str">
        <f t="shared" si="65"/>
        <v/>
      </c>
      <c r="AD9" s="49" t="str">
        <f t="shared" si="65"/>
        <v/>
      </c>
      <c r="AE9" s="49" t="str">
        <f t="shared" si="65"/>
        <v/>
      </c>
      <c r="AF9" s="49" t="str">
        <f t="shared" si="65"/>
        <v/>
      </c>
      <c r="AG9" s="49" t="str">
        <f t="shared" si="65"/>
        <v/>
      </c>
      <c r="AH9" s="49" t="str">
        <f t="shared" si="65"/>
        <v/>
      </c>
      <c r="AI9" s="49" t="str">
        <f t="shared" si="65"/>
        <v/>
      </c>
      <c r="AJ9" s="49" t="str">
        <f t="shared" si="65"/>
        <v/>
      </c>
      <c r="AK9" s="49" t="str">
        <f t="shared" si="65"/>
        <v/>
      </c>
      <c r="AL9" s="49" t="str">
        <f t="shared" si="65"/>
        <v/>
      </c>
      <c r="AM9" s="49" t="str">
        <f t="shared" si="65"/>
        <v/>
      </c>
      <c r="AN9" s="49" t="str">
        <f t="shared" si="65"/>
        <v/>
      </c>
      <c r="AO9" s="49" t="str">
        <f t="shared" si="65"/>
        <v/>
      </c>
      <c r="AP9" s="49" t="str">
        <f t="shared" si="65"/>
        <v/>
      </c>
      <c r="AQ9" s="49" t="str">
        <f t="shared" si="65"/>
        <v/>
      </c>
      <c r="AR9" s="49" t="str">
        <f t="shared" ref="AQ9:BW18" si="66">IF(AND(AR$8&gt;=$H9,AR$8&lt;=$I9),"x","")</f>
        <v/>
      </c>
      <c r="AS9" s="49" t="str">
        <f t="shared" si="66"/>
        <v/>
      </c>
      <c r="AT9" s="49" t="str">
        <f t="shared" si="66"/>
        <v/>
      </c>
      <c r="AU9" s="49" t="str">
        <f t="shared" si="66"/>
        <v/>
      </c>
      <c r="AV9" s="49" t="str">
        <f t="shared" si="66"/>
        <v/>
      </c>
      <c r="AW9" s="49" t="str">
        <f t="shared" si="66"/>
        <v/>
      </c>
      <c r="AX9" s="49" t="str">
        <f t="shared" si="66"/>
        <v/>
      </c>
      <c r="AY9" s="49" t="str">
        <f t="shared" si="66"/>
        <v/>
      </c>
      <c r="AZ9" s="49" t="str">
        <f t="shared" si="66"/>
        <v/>
      </c>
      <c r="BA9" s="49" t="str">
        <f t="shared" si="66"/>
        <v/>
      </c>
      <c r="BB9" s="49" t="str">
        <f t="shared" si="66"/>
        <v/>
      </c>
      <c r="BC9" s="49" t="str">
        <f t="shared" si="66"/>
        <v/>
      </c>
      <c r="BD9" s="49" t="str">
        <f t="shared" si="66"/>
        <v/>
      </c>
      <c r="BE9" s="49" t="str">
        <f t="shared" si="66"/>
        <v/>
      </c>
      <c r="BF9" s="49" t="str">
        <f t="shared" si="66"/>
        <v/>
      </c>
      <c r="BG9" s="49" t="str">
        <f t="shared" si="66"/>
        <v/>
      </c>
      <c r="BH9" s="49" t="str">
        <f t="shared" si="66"/>
        <v/>
      </c>
      <c r="BI9" s="49" t="str">
        <f t="shared" si="66"/>
        <v/>
      </c>
      <c r="BJ9" s="49" t="str">
        <f t="shared" si="66"/>
        <v/>
      </c>
      <c r="BK9" s="49" t="str">
        <f t="shared" si="66"/>
        <v/>
      </c>
      <c r="BL9" s="49" t="str">
        <f t="shared" si="66"/>
        <v/>
      </c>
      <c r="BM9" s="49" t="str">
        <f t="shared" si="66"/>
        <v/>
      </c>
      <c r="BN9" s="49" t="str">
        <f t="shared" si="66"/>
        <v/>
      </c>
      <c r="BO9" s="49" t="str">
        <f t="shared" si="66"/>
        <v/>
      </c>
      <c r="BP9" s="49" t="str">
        <f t="shared" si="66"/>
        <v/>
      </c>
      <c r="BQ9" s="49" t="str">
        <f t="shared" si="66"/>
        <v/>
      </c>
      <c r="BR9" s="49" t="str">
        <f t="shared" si="66"/>
        <v/>
      </c>
      <c r="BS9" s="49" t="str">
        <f t="shared" si="66"/>
        <v/>
      </c>
      <c r="BT9" s="49" t="str">
        <f t="shared" si="66"/>
        <v/>
      </c>
      <c r="BU9" s="49" t="str">
        <f t="shared" si="66"/>
        <v/>
      </c>
      <c r="BV9" s="49" t="str">
        <f t="shared" si="66"/>
        <v/>
      </c>
      <c r="BW9" s="49" t="str">
        <f t="shared" si="66"/>
        <v/>
      </c>
      <c r="BX9" s="49" t="str">
        <f t="shared" ref="BX9:DC16" si="67">IF(AND(BX$8&gt;=$H9,BX$8&lt;=$I9),"x","")</f>
        <v/>
      </c>
      <c r="BY9" s="49" t="str">
        <f t="shared" si="67"/>
        <v/>
      </c>
      <c r="BZ9" s="49" t="str">
        <f t="shared" si="67"/>
        <v/>
      </c>
      <c r="CA9" s="49" t="str">
        <f t="shared" si="67"/>
        <v/>
      </c>
      <c r="CB9" s="49" t="str">
        <f t="shared" si="67"/>
        <v/>
      </c>
      <c r="CC9" s="49" t="str">
        <f t="shared" si="67"/>
        <v/>
      </c>
      <c r="CD9" s="49" t="str">
        <f t="shared" si="67"/>
        <v/>
      </c>
      <c r="CE9" s="49" t="str">
        <f t="shared" si="67"/>
        <v/>
      </c>
      <c r="CF9" s="49" t="str">
        <f t="shared" si="67"/>
        <v/>
      </c>
      <c r="CG9" s="49" t="str">
        <f t="shared" si="67"/>
        <v/>
      </c>
      <c r="CH9" s="49" t="str">
        <f t="shared" si="67"/>
        <v/>
      </c>
      <c r="CI9" s="49" t="str">
        <f t="shared" si="67"/>
        <v/>
      </c>
      <c r="CJ9" s="49" t="str">
        <f t="shared" si="67"/>
        <v/>
      </c>
      <c r="CK9" s="49" t="str">
        <f t="shared" si="67"/>
        <v/>
      </c>
      <c r="CL9" s="49" t="str">
        <f t="shared" si="67"/>
        <v/>
      </c>
      <c r="CM9" s="49" t="str">
        <f t="shared" si="67"/>
        <v/>
      </c>
      <c r="CN9" s="49" t="str">
        <f t="shared" si="67"/>
        <v/>
      </c>
      <c r="CO9" s="49" t="str">
        <f t="shared" si="67"/>
        <v/>
      </c>
      <c r="CP9" s="49" t="str">
        <f t="shared" si="67"/>
        <v/>
      </c>
      <c r="CQ9" s="49" t="str">
        <f t="shared" si="67"/>
        <v/>
      </c>
      <c r="CR9" s="49" t="str">
        <f t="shared" si="67"/>
        <v/>
      </c>
      <c r="CS9" s="49" t="str">
        <f t="shared" si="67"/>
        <v/>
      </c>
      <c r="CT9" s="49" t="str">
        <f t="shared" si="67"/>
        <v/>
      </c>
      <c r="CU9" s="49" t="str">
        <f t="shared" si="67"/>
        <v/>
      </c>
      <c r="CV9" s="49" t="str">
        <f t="shared" si="67"/>
        <v/>
      </c>
      <c r="CW9" s="49" t="str">
        <f t="shared" si="67"/>
        <v/>
      </c>
      <c r="CX9" s="49" t="str">
        <f t="shared" si="67"/>
        <v/>
      </c>
      <c r="CY9" s="49" t="str">
        <f t="shared" si="67"/>
        <v/>
      </c>
      <c r="CZ9" s="49" t="str">
        <f t="shared" si="67"/>
        <v/>
      </c>
      <c r="DA9" s="49" t="str">
        <f t="shared" si="67"/>
        <v/>
      </c>
      <c r="DB9" s="49" t="str">
        <f t="shared" si="67"/>
        <v/>
      </c>
      <c r="DC9" s="49" t="str">
        <f t="shared" si="67"/>
        <v/>
      </c>
      <c r="DE9" s="23">
        <f t="shared" ref="DE9:DE25" si="68">IF(K9="Completado",IF(M9&lt;D9,D9-M9,0),0)</f>
        <v>0</v>
      </c>
      <c r="DF9" s="23">
        <f t="shared" ref="DF9:DF25" si="69">IFERROR(IF(K9="Completado",IF(M9&gt;D9,M9-D9,0),0),0)</f>
        <v>0</v>
      </c>
    </row>
    <row r="10" spans="1:113" ht="15.75" x14ac:dyDescent="0.25">
      <c r="B10" s="28">
        <f>IF(C10="","",B9+1)</f>
        <v>2</v>
      </c>
      <c r="C10" s="55" t="s">
        <v>86</v>
      </c>
      <c r="D10" s="31">
        <v>1</v>
      </c>
      <c r="E10" s="32">
        <v>1</v>
      </c>
      <c r="F10" s="31" t="s">
        <v>71</v>
      </c>
      <c r="G10" s="33">
        <v>0</v>
      </c>
      <c r="H10" s="29">
        <f>IF(OR(C10="",D10="",G10="",F10="",E10=""),"",IF(F10="FC",VLOOKUP(E10,$B$9:$M$61,8,FALSE)+G10,IF(F10="CC",VLOOKUP(E10,$B$9:$M$61,7,FALSE)+G10,"")))</f>
        <v>45966</v>
      </c>
      <c r="I10" s="29">
        <f>IF(H10="","",H10+D10-1)</f>
        <v>45966</v>
      </c>
      <c r="J10" s="58" t="s">
        <v>127</v>
      </c>
      <c r="K10" s="31" t="s">
        <v>9</v>
      </c>
      <c r="L10" s="34"/>
      <c r="M10" s="30" t="str">
        <f t="shared" ref="M10:M25" si="70">IF(H10="","",IF(AND(K10="Completado",L10=""),"Completar fecha de finalización",IF(AND(K10="Completado",L10&lt;&gt;""),L10-H10+1,"")))</f>
        <v/>
      </c>
      <c r="O10" s="16" t="str">
        <f t="shared" ref="O10:AD27" si="71">IF(AND(O$8&gt;=$H10,O$8&lt;=$I10),"x","")</f>
        <v>x</v>
      </c>
      <c r="P10" s="17" t="str">
        <f t="shared" si="65"/>
        <v/>
      </c>
      <c r="Q10" s="17" t="str">
        <f t="shared" si="65"/>
        <v/>
      </c>
      <c r="R10" s="17" t="str">
        <f t="shared" si="65"/>
        <v/>
      </c>
      <c r="S10" s="17" t="str">
        <f t="shared" si="65"/>
        <v/>
      </c>
      <c r="T10" s="17" t="str">
        <f t="shared" si="65"/>
        <v/>
      </c>
      <c r="U10" s="17" t="str">
        <f t="shared" si="65"/>
        <v/>
      </c>
      <c r="V10" s="17" t="str">
        <f t="shared" si="65"/>
        <v/>
      </c>
      <c r="W10" s="17" t="str">
        <f t="shared" si="65"/>
        <v/>
      </c>
      <c r="X10" s="17" t="str">
        <f t="shared" si="65"/>
        <v/>
      </c>
      <c r="Y10" s="17" t="str">
        <f t="shared" si="65"/>
        <v/>
      </c>
      <c r="Z10" s="17" t="str">
        <f t="shared" si="65"/>
        <v/>
      </c>
      <c r="AA10" s="17" t="str">
        <f t="shared" si="65"/>
        <v/>
      </c>
      <c r="AB10" s="17" t="str">
        <f t="shared" si="65"/>
        <v/>
      </c>
      <c r="AC10" s="17" t="str">
        <f t="shared" si="65"/>
        <v/>
      </c>
      <c r="AD10" s="17" t="str">
        <f t="shared" si="65"/>
        <v/>
      </c>
      <c r="AE10" s="17" t="str">
        <f t="shared" si="65"/>
        <v/>
      </c>
      <c r="AF10" s="17" t="str">
        <f t="shared" si="65"/>
        <v/>
      </c>
      <c r="AG10" s="17" t="str">
        <f t="shared" si="65"/>
        <v/>
      </c>
      <c r="AH10" s="17" t="str">
        <f t="shared" si="65"/>
        <v/>
      </c>
      <c r="AI10" s="17" t="str">
        <f t="shared" si="65"/>
        <v/>
      </c>
      <c r="AJ10" s="17" t="str">
        <f t="shared" si="65"/>
        <v/>
      </c>
      <c r="AK10" s="17" t="str">
        <f t="shared" si="65"/>
        <v/>
      </c>
      <c r="AL10" s="17" t="str">
        <f t="shared" si="65"/>
        <v/>
      </c>
      <c r="AM10" s="17" t="str">
        <f t="shared" si="65"/>
        <v/>
      </c>
      <c r="AN10" s="17" t="str">
        <f t="shared" si="65"/>
        <v/>
      </c>
      <c r="AO10" s="17" t="str">
        <f t="shared" si="65"/>
        <v/>
      </c>
      <c r="AP10" s="17" t="str">
        <f t="shared" si="65"/>
        <v/>
      </c>
      <c r="AQ10" s="17" t="str">
        <f t="shared" si="66"/>
        <v/>
      </c>
      <c r="AR10" s="17" t="str">
        <f t="shared" si="66"/>
        <v/>
      </c>
      <c r="AS10" s="17" t="str">
        <f t="shared" si="66"/>
        <v/>
      </c>
      <c r="AT10" s="17" t="str">
        <f t="shared" si="66"/>
        <v/>
      </c>
      <c r="AU10" s="17" t="str">
        <f t="shared" si="66"/>
        <v/>
      </c>
      <c r="AV10" s="17" t="str">
        <f t="shared" si="66"/>
        <v/>
      </c>
      <c r="AW10" s="17" t="str">
        <f t="shared" si="66"/>
        <v/>
      </c>
      <c r="AX10" s="17" t="str">
        <f t="shared" si="66"/>
        <v/>
      </c>
      <c r="AY10" s="17" t="str">
        <f t="shared" si="66"/>
        <v/>
      </c>
      <c r="AZ10" s="17" t="str">
        <f t="shared" si="66"/>
        <v/>
      </c>
      <c r="BA10" s="17" t="str">
        <f t="shared" si="66"/>
        <v/>
      </c>
      <c r="BB10" s="17" t="str">
        <f t="shared" si="66"/>
        <v/>
      </c>
      <c r="BC10" s="17" t="str">
        <f t="shared" si="66"/>
        <v/>
      </c>
      <c r="BD10" s="17" t="str">
        <f t="shared" si="66"/>
        <v/>
      </c>
      <c r="BE10" s="17" t="str">
        <f t="shared" si="66"/>
        <v/>
      </c>
      <c r="BF10" s="17" t="str">
        <f t="shared" si="66"/>
        <v/>
      </c>
      <c r="BG10" s="17" t="str">
        <f t="shared" si="66"/>
        <v/>
      </c>
      <c r="BH10" s="17" t="str">
        <f t="shared" si="66"/>
        <v/>
      </c>
      <c r="BI10" s="17" t="str">
        <f t="shared" si="66"/>
        <v/>
      </c>
      <c r="BJ10" s="17" t="str">
        <f t="shared" si="66"/>
        <v/>
      </c>
      <c r="BK10" s="17" t="str">
        <f t="shared" si="66"/>
        <v/>
      </c>
      <c r="BL10" s="17" t="str">
        <f t="shared" si="66"/>
        <v/>
      </c>
      <c r="BM10" s="17" t="str">
        <f t="shared" si="66"/>
        <v/>
      </c>
      <c r="BN10" s="17" t="str">
        <f t="shared" si="66"/>
        <v/>
      </c>
      <c r="BO10" s="17" t="str">
        <f t="shared" si="66"/>
        <v/>
      </c>
      <c r="BP10" s="17" t="str">
        <f t="shared" si="66"/>
        <v/>
      </c>
      <c r="BQ10" s="17" t="str">
        <f t="shared" si="66"/>
        <v/>
      </c>
      <c r="BR10" s="17" t="str">
        <f t="shared" si="66"/>
        <v/>
      </c>
      <c r="BS10" s="17" t="str">
        <f t="shared" si="66"/>
        <v/>
      </c>
      <c r="BT10" s="17" t="str">
        <f t="shared" si="66"/>
        <v/>
      </c>
      <c r="BU10" s="17" t="str">
        <f t="shared" si="66"/>
        <v/>
      </c>
      <c r="BV10" s="17" t="str">
        <f t="shared" si="66"/>
        <v/>
      </c>
      <c r="BW10" s="17" t="str">
        <f t="shared" si="66"/>
        <v/>
      </c>
      <c r="BX10" s="17" t="str">
        <f t="shared" si="67"/>
        <v/>
      </c>
      <c r="BY10" s="17" t="str">
        <f t="shared" si="67"/>
        <v/>
      </c>
      <c r="BZ10" s="17" t="str">
        <f t="shared" si="67"/>
        <v/>
      </c>
      <c r="CA10" s="17" t="str">
        <f t="shared" si="67"/>
        <v/>
      </c>
      <c r="CB10" s="17" t="str">
        <f t="shared" si="67"/>
        <v/>
      </c>
      <c r="CC10" s="17" t="str">
        <f t="shared" si="67"/>
        <v/>
      </c>
      <c r="CD10" s="17" t="str">
        <f t="shared" si="67"/>
        <v/>
      </c>
      <c r="CE10" s="17" t="str">
        <f t="shared" si="67"/>
        <v/>
      </c>
      <c r="CF10" s="17" t="str">
        <f t="shared" si="67"/>
        <v/>
      </c>
      <c r="CG10" s="17" t="str">
        <f t="shared" si="67"/>
        <v/>
      </c>
      <c r="CH10" s="17" t="str">
        <f t="shared" si="67"/>
        <v/>
      </c>
      <c r="CI10" s="17" t="str">
        <f t="shared" si="67"/>
        <v/>
      </c>
      <c r="CJ10" s="17" t="str">
        <f t="shared" si="67"/>
        <v/>
      </c>
      <c r="CK10" s="17" t="str">
        <f t="shared" si="67"/>
        <v/>
      </c>
      <c r="CL10" s="17" t="str">
        <f t="shared" si="67"/>
        <v/>
      </c>
      <c r="CM10" s="17" t="str">
        <f t="shared" si="67"/>
        <v/>
      </c>
      <c r="CN10" s="17" t="str">
        <f t="shared" si="67"/>
        <v/>
      </c>
      <c r="CO10" s="17" t="str">
        <f t="shared" si="67"/>
        <v/>
      </c>
      <c r="CP10" s="17" t="str">
        <f t="shared" si="67"/>
        <v/>
      </c>
      <c r="CQ10" s="17" t="str">
        <f t="shared" si="67"/>
        <v/>
      </c>
      <c r="CR10" s="17" t="str">
        <f t="shared" si="67"/>
        <v/>
      </c>
      <c r="CS10" s="17" t="str">
        <f t="shared" si="67"/>
        <v/>
      </c>
      <c r="CT10" s="17" t="str">
        <f t="shared" si="67"/>
        <v/>
      </c>
      <c r="CU10" s="17" t="str">
        <f t="shared" si="67"/>
        <v/>
      </c>
      <c r="CV10" s="17" t="str">
        <f t="shared" si="67"/>
        <v/>
      </c>
      <c r="CW10" s="17" t="str">
        <f t="shared" si="67"/>
        <v/>
      </c>
      <c r="CX10" s="17" t="str">
        <f t="shared" si="67"/>
        <v/>
      </c>
      <c r="CY10" s="17" t="str">
        <f t="shared" si="67"/>
        <v/>
      </c>
      <c r="CZ10" s="17" t="str">
        <f t="shared" si="67"/>
        <v/>
      </c>
      <c r="DA10" s="17" t="str">
        <f t="shared" si="67"/>
        <v/>
      </c>
      <c r="DB10" s="17" t="str">
        <f t="shared" si="67"/>
        <v/>
      </c>
      <c r="DC10" s="17" t="str">
        <f t="shared" si="67"/>
        <v/>
      </c>
      <c r="DE10" s="23">
        <f t="shared" si="68"/>
        <v>0</v>
      </c>
      <c r="DF10" s="23">
        <f t="shared" si="69"/>
        <v>0</v>
      </c>
    </row>
    <row r="11" spans="1:113" ht="15.75" x14ac:dyDescent="0.25">
      <c r="B11" s="28">
        <f t="shared" ref="B11:B29" si="72">IF(C11="","",B10+1)</f>
        <v>3</v>
      </c>
      <c r="C11" s="55" t="s">
        <v>87</v>
      </c>
      <c r="D11" s="31">
        <v>1</v>
      </c>
      <c r="E11" s="32">
        <v>2</v>
      </c>
      <c r="F11" s="31" t="s">
        <v>60</v>
      </c>
      <c r="G11" s="33">
        <v>0</v>
      </c>
      <c r="H11" s="29">
        <f t="shared" ref="H11:H61" si="73">IF(OR(C11="",D11="",G11="",F11="",E11=""),"",IF(F11="FC",VLOOKUP(E11,$B$9:$M$61,8,FALSE)+G11,IF(F11="CC",VLOOKUP(E11,$B$9:$M$61,7,FALSE)+G11,"")))</f>
        <v>45966</v>
      </c>
      <c r="I11" s="29">
        <f t="shared" ref="I11:I25" si="74">IF(H11="","",H11+D11-1)</f>
        <v>45966</v>
      </c>
      <c r="J11" s="58" t="s">
        <v>127</v>
      </c>
      <c r="K11" s="31" t="s">
        <v>9</v>
      </c>
      <c r="L11" s="34"/>
      <c r="M11" s="30" t="str">
        <f t="shared" si="70"/>
        <v/>
      </c>
      <c r="O11" s="16" t="str">
        <f t="shared" si="71"/>
        <v>x</v>
      </c>
      <c r="P11" s="17" t="str">
        <f t="shared" si="65"/>
        <v/>
      </c>
      <c r="Q11" s="17" t="str">
        <f t="shared" si="65"/>
        <v/>
      </c>
      <c r="R11" s="17" t="str">
        <f t="shared" si="65"/>
        <v/>
      </c>
      <c r="S11" s="17" t="str">
        <f t="shared" si="65"/>
        <v/>
      </c>
      <c r="T11" s="17" t="str">
        <f t="shared" si="65"/>
        <v/>
      </c>
      <c r="U11" s="17" t="str">
        <f t="shared" si="65"/>
        <v/>
      </c>
      <c r="V11" s="17" t="str">
        <f t="shared" si="65"/>
        <v/>
      </c>
      <c r="W11" s="17" t="str">
        <f t="shared" si="65"/>
        <v/>
      </c>
      <c r="X11" s="17" t="str">
        <f t="shared" si="65"/>
        <v/>
      </c>
      <c r="Y11" s="17" t="str">
        <f t="shared" si="65"/>
        <v/>
      </c>
      <c r="Z11" s="17" t="str">
        <f t="shared" si="65"/>
        <v/>
      </c>
      <c r="AA11" s="17" t="str">
        <f t="shared" si="65"/>
        <v/>
      </c>
      <c r="AB11" s="17" t="str">
        <f t="shared" si="65"/>
        <v/>
      </c>
      <c r="AC11" s="17" t="str">
        <f t="shared" si="65"/>
        <v/>
      </c>
      <c r="AD11" s="17" t="str">
        <f t="shared" si="65"/>
        <v/>
      </c>
      <c r="AE11" s="17" t="str">
        <f t="shared" si="65"/>
        <v/>
      </c>
      <c r="AF11" s="17" t="str">
        <f t="shared" si="65"/>
        <v/>
      </c>
      <c r="AG11" s="17" t="str">
        <f t="shared" si="65"/>
        <v/>
      </c>
      <c r="AH11" s="17" t="str">
        <f t="shared" si="65"/>
        <v/>
      </c>
      <c r="AI11" s="17" t="str">
        <f t="shared" si="65"/>
        <v/>
      </c>
      <c r="AJ11" s="17" t="str">
        <f t="shared" si="65"/>
        <v/>
      </c>
      <c r="AK11" s="17" t="str">
        <f t="shared" si="65"/>
        <v/>
      </c>
      <c r="AL11" s="17" t="str">
        <f t="shared" si="65"/>
        <v/>
      </c>
      <c r="AM11" s="17" t="str">
        <f t="shared" si="65"/>
        <v/>
      </c>
      <c r="AN11" s="17" t="str">
        <f t="shared" si="65"/>
        <v/>
      </c>
      <c r="AO11" s="17" t="str">
        <f t="shared" si="65"/>
        <v/>
      </c>
      <c r="AP11" s="17" t="str">
        <f t="shared" si="65"/>
        <v/>
      </c>
      <c r="AQ11" s="17" t="str">
        <f t="shared" si="66"/>
        <v/>
      </c>
      <c r="AR11" s="17" t="str">
        <f t="shared" si="66"/>
        <v/>
      </c>
      <c r="AS11" s="17" t="str">
        <f t="shared" si="66"/>
        <v/>
      </c>
      <c r="AT11" s="17" t="str">
        <f t="shared" si="66"/>
        <v/>
      </c>
      <c r="AU11" s="17" t="str">
        <f t="shared" si="66"/>
        <v/>
      </c>
      <c r="AV11" s="17" t="str">
        <f t="shared" si="66"/>
        <v/>
      </c>
      <c r="AW11" s="17" t="str">
        <f t="shared" si="66"/>
        <v/>
      </c>
      <c r="AX11" s="17" t="str">
        <f t="shared" si="66"/>
        <v/>
      </c>
      <c r="AY11" s="17" t="str">
        <f t="shared" si="66"/>
        <v/>
      </c>
      <c r="AZ11" s="17" t="str">
        <f t="shared" si="66"/>
        <v/>
      </c>
      <c r="BA11" s="17" t="str">
        <f t="shared" si="66"/>
        <v/>
      </c>
      <c r="BB11" s="17" t="str">
        <f t="shared" si="66"/>
        <v/>
      </c>
      <c r="BC11" s="17" t="str">
        <f t="shared" si="66"/>
        <v/>
      </c>
      <c r="BD11" s="17" t="str">
        <f t="shared" si="66"/>
        <v/>
      </c>
      <c r="BE11" s="17" t="str">
        <f t="shared" si="66"/>
        <v/>
      </c>
      <c r="BF11" s="17" t="str">
        <f t="shared" si="66"/>
        <v/>
      </c>
      <c r="BG11" s="17" t="str">
        <f t="shared" si="66"/>
        <v/>
      </c>
      <c r="BH11" s="17" t="str">
        <f t="shared" si="66"/>
        <v/>
      </c>
      <c r="BI11" s="17" t="str">
        <f t="shared" si="66"/>
        <v/>
      </c>
      <c r="BJ11" s="17" t="str">
        <f t="shared" si="66"/>
        <v/>
      </c>
      <c r="BK11" s="17" t="str">
        <f t="shared" si="66"/>
        <v/>
      </c>
      <c r="BL11" s="17" t="str">
        <f t="shared" si="66"/>
        <v/>
      </c>
      <c r="BM11" s="17" t="str">
        <f t="shared" si="66"/>
        <v/>
      </c>
      <c r="BN11" s="17" t="str">
        <f t="shared" si="66"/>
        <v/>
      </c>
      <c r="BO11" s="17" t="str">
        <f t="shared" si="66"/>
        <v/>
      </c>
      <c r="BP11" s="17" t="str">
        <f t="shared" si="66"/>
        <v/>
      </c>
      <c r="BQ11" s="17" t="str">
        <f t="shared" si="66"/>
        <v/>
      </c>
      <c r="BR11" s="17" t="str">
        <f t="shared" si="66"/>
        <v/>
      </c>
      <c r="BS11" s="17" t="str">
        <f t="shared" si="66"/>
        <v/>
      </c>
      <c r="BT11" s="17" t="str">
        <f t="shared" si="66"/>
        <v/>
      </c>
      <c r="BU11" s="17" t="str">
        <f t="shared" si="66"/>
        <v/>
      </c>
      <c r="BV11" s="17" t="str">
        <f t="shared" si="66"/>
        <v/>
      </c>
      <c r="BW11" s="17" t="str">
        <f t="shared" si="66"/>
        <v/>
      </c>
      <c r="BX11" s="17" t="str">
        <f t="shared" si="67"/>
        <v/>
      </c>
      <c r="BY11" s="17" t="str">
        <f t="shared" si="67"/>
        <v/>
      </c>
      <c r="BZ11" s="17" t="str">
        <f t="shared" si="67"/>
        <v/>
      </c>
      <c r="CA11" s="17" t="str">
        <f t="shared" si="67"/>
        <v/>
      </c>
      <c r="CB11" s="17" t="str">
        <f t="shared" si="67"/>
        <v/>
      </c>
      <c r="CC11" s="17" t="str">
        <f t="shared" si="67"/>
        <v/>
      </c>
      <c r="CD11" s="17" t="str">
        <f t="shared" si="67"/>
        <v/>
      </c>
      <c r="CE11" s="17" t="str">
        <f t="shared" si="67"/>
        <v/>
      </c>
      <c r="CF11" s="17" t="str">
        <f t="shared" si="67"/>
        <v/>
      </c>
      <c r="CG11" s="17" t="str">
        <f t="shared" si="67"/>
        <v/>
      </c>
      <c r="CH11" s="17" t="str">
        <f t="shared" si="67"/>
        <v/>
      </c>
      <c r="CI11" s="17" t="str">
        <f t="shared" si="67"/>
        <v/>
      </c>
      <c r="CJ11" s="17" t="str">
        <f t="shared" si="67"/>
        <v/>
      </c>
      <c r="CK11" s="17" t="str">
        <f t="shared" si="67"/>
        <v/>
      </c>
      <c r="CL11" s="17" t="str">
        <f t="shared" si="67"/>
        <v/>
      </c>
      <c r="CM11" s="17" t="str">
        <f t="shared" si="67"/>
        <v/>
      </c>
      <c r="CN11" s="17" t="str">
        <f t="shared" si="67"/>
        <v/>
      </c>
      <c r="CO11" s="17" t="str">
        <f t="shared" si="67"/>
        <v/>
      </c>
      <c r="CP11" s="17" t="str">
        <f t="shared" si="67"/>
        <v/>
      </c>
      <c r="CQ11" s="17" t="str">
        <f t="shared" si="67"/>
        <v/>
      </c>
      <c r="CR11" s="17" t="str">
        <f t="shared" si="67"/>
        <v/>
      </c>
      <c r="CS11" s="17" t="str">
        <f t="shared" si="67"/>
        <v/>
      </c>
      <c r="CT11" s="17" t="str">
        <f t="shared" si="67"/>
        <v/>
      </c>
      <c r="CU11" s="17" t="str">
        <f t="shared" si="67"/>
        <v/>
      </c>
      <c r="CV11" s="17" t="str">
        <f t="shared" si="67"/>
        <v/>
      </c>
      <c r="CW11" s="17" t="str">
        <f t="shared" si="67"/>
        <v/>
      </c>
      <c r="CX11" s="17" t="str">
        <f t="shared" si="67"/>
        <v/>
      </c>
      <c r="CY11" s="17" t="str">
        <f t="shared" si="67"/>
        <v/>
      </c>
      <c r="CZ11" s="17" t="str">
        <f t="shared" si="67"/>
        <v/>
      </c>
      <c r="DA11" s="17" t="str">
        <f t="shared" si="67"/>
        <v/>
      </c>
      <c r="DB11" s="17" t="str">
        <f t="shared" si="67"/>
        <v/>
      </c>
      <c r="DC11" s="17" t="str">
        <f t="shared" si="67"/>
        <v/>
      </c>
      <c r="DE11" s="23">
        <f t="shared" si="68"/>
        <v>0</v>
      </c>
      <c r="DF11" s="23">
        <f t="shared" si="69"/>
        <v>0</v>
      </c>
    </row>
    <row r="12" spans="1:113" ht="15.75" x14ac:dyDescent="0.25">
      <c r="B12" s="28">
        <f t="shared" si="72"/>
        <v>4</v>
      </c>
      <c r="C12" s="55" t="s">
        <v>88</v>
      </c>
      <c r="D12" s="31">
        <v>1</v>
      </c>
      <c r="E12" s="32">
        <v>3</v>
      </c>
      <c r="F12" s="31" t="s">
        <v>60</v>
      </c>
      <c r="G12" s="33">
        <v>0</v>
      </c>
      <c r="H12" s="29">
        <f t="shared" si="73"/>
        <v>45966</v>
      </c>
      <c r="I12" s="29">
        <f t="shared" si="74"/>
        <v>45966</v>
      </c>
      <c r="J12" s="58" t="s">
        <v>127</v>
      </c>
      <c r="K12" s="31" t="s">
        <v>9</v>
      </c>
      <c r="L12" s="34"/>
      <c r="M12" s="30" t="str">
        <f t="shared" si="70"/>
        <v/>
      </c>
      <c r="O12" s="16" t="str">
        <f t="shared" si="71"/>
        <v>x</v>
      </c>
      <c r="P12" s="17" t="str">
        <f t="shared" si="65"/>
        <v/>
      </c>
      <c r="Q12" s="17" t="str">
        <f t="shared" si="65"/>
        <v/>
      </c>
      <c r="R12" s="17" t="str">
        <f t="shared" si="65"/>
        <v/>
      </c>
      <c r="S12" s="17" t="str">
        <f t="shared" si="65"/>
        <v/>
      </c>
      <c r="T12" s="17" t="str">
        <f t="shared" si="65"/>
        <v/>
      </c>
      <c r="U12" s="17" t="str">
        <f t="shared" si="65"/>
        <v/>
      </c>
      <c r="V12" s="17" t="str">
        <f t="shared" si="65"/>
        <v/>
      </c>
      <c r="W12" s="17" t="str">
        <f t="shared" si="65"/>
        <v/>
      </c>
      <c r="X12" s="17" t="str">
        <f t="shared" si="65"/>
        <v/>
      </c>
      <c r="Y12" s="17" t="str">
        <f t="shared" si="65"/>
        <v/>
      </c>
      <c r="Z12" s="17" t="str">
        <f t="shared" si="65"/>
        <v/>
      </c>
      <c r="AA12" s="17" t="str">
        <f t="shared" si="65"/>
        <v/>
      </c>
      <c r="AB12" s="17" t="str">
        <f t="shared" si="65"/>
        <v/>
      </c>
      <c r="AC12" s="17" t="str">
        <f t="shared" si="65"/>
        <v/>
      </c>
      <c r="AD12" s="17" t="str">
        <f t="shared" si="65"/>
        <v/>
      </c>
      <c r="AE12" s="17" t="str">
        <f t="shared" si="65"/>
        <v/>
      </c>
      <c r="AF12" s="17" t="str">
        <f t="shared" si="65"/>
        <v/>
      </c>
      <c r="AG12" s="17" t="str">
        <f t="shared" si="65"/>
        <v/>
      </c>
      <c r="AH12" s="17" t="str">
        <f t="shared" si="65"/>
        <v/>
      </c>
      <c r="AI12" s="17" t="str">
        <f t="shared" si="65"/>
        <v/>
      </c>
      <c r="AJ12" s="17" t="str">
        <f t="shared" si="65"/>
        <v/>
      </c>
      <c r="AK12" s="17" t="str">
        <f t="shared" si="65"/>
        <v/>
      </c>
      <c r="AL12" s="17" t="str">
        <f t="shared" si="65"/>
        <v/>
      </c>
      <c r="AM12" s="17" t="str">
        <f t="shared" si="65"/>
        <v/>
      </c>
      <c r="AN12" s="17" t="str">
        <f t="shared" si="65"/>
        <v/>
      </c>
      <c r="AO12" s="17" t="str">
        <f t="shared" si="65"/>
        <v/>
      </c>
      <c r="AP12" s="17" t="str">
        <f t="shared" si="65"/>
        <v/>
      </c>
      <c r="AQ12" s="17" t="str">
        <f t="shared" si="66"/>
        <v/>
      </c>
      <c r="AR12" s="17" t="str">
        <f t="shared" si="66"/>
        <v/>
      </c>
      <c r="AS12" s="17" t="str">
        <f t="shared" si="66"/>
        <v/>
      </c>
      <c r="AT12" s="17" t="str">
        <f t="shared" si="66"/>
        <v/>
      </c>
      <c r="AU12" s="17" t="str">
        <f t="shared" si="66"/>
        <v/>
      </c>
      <c r="AV12" s="17" t="str">
        <f t="shared" si="66"/>
        <v/>
      </c>
      <c r="AW12" s="17" t="str">
        <f t="shared" si="66"/>
        <v/>
      </c>
      <c r="AX12" s="17" t="str">
        <f t="shared" si="66"/>
        <v/>
      </c>
      <c r="AY12" s="17" t="str">
        <f t="shared" si="66"/>
        <v/>
      </c>
      <c r="AZ12" s="17" t="str">
        <f t="shared" si="66"/>
        <v/>
      </c>
      <c r="BA12" s="17" t="str">
        <f t="shared" si="66"/>
        <v/>
      </c>
      <c r="BB12" s="17" t="str">
        <f t="shared" si="66"/>
        <v/>
      </c>
      <c r="BC12" s="17" t="str">
        <f t="shared" si="66"/>
        <v/>
      </c>
      <c r="BD12" s="17" t="str">
        <f t="shared" si="66"/>
        <v/>
      </c>
      <c r="BE12" s="17" t="str">
        <f t="shared" si="66"/>
        <v/>
      </c>
      <c r="BF12" s="17" t="str">
        <f t="shared" si="66"/>
        <v/>
      </c>
      <c r="BG12" s="17" t="str">
        <f t="shared" si="66"/>
        <v/>
      </c>
      <c r="BH12" s="17" t="str">
        <f t="shared" si="66"/>
        <v/>
      </c>
      <c r="BI12" s="17" t="str">
        <f t="shared" si="66"/>
        <v/>
      </c>
      <c r="BJ12" s="17" t="str">
        <f t="shared" si="66"/>
        <v/>
      </c>
      <c r="BK12" s="17" t="str">
        <f t="shared" si="66"/>
        <v/>
      </c>
      <c r="BL12" s="17" t="str">
        <f t="shared" si="66"/>
        <v/>
      </c>
      <c r="BM12" s="17" t="str">
        <f t="shared" si="66"/>
        <v/>
      </c>
      <c r="BN12" s="17" t="str">
        <f t="shared" si="66"/>
        <v/>
      </c>
      <c r="BO12" s="17" t="str">
        <f t="shared" si="66"/>
        <v/>
      </c>
      <c r="BP12" s="17" t="str">
        <f t="shared" si="66"/>
        <v/>
      </c>
      <c r="BQ12" s="17" t="str">
        <f t="shared" si="66"/>
        <v/>
      </c>
      <c r="BR12" s="17" t="str">
        <f t="shared" si="66"/>
        <v/>
      </c>
      <c r="BS12" s="17" t="str">
        <f t="shared" si="66"/>
        <v/>
      </c>
      <c r="BT12" s="17" t="str">
        <f t="shared" si="66"/>
        <v/>
      </c>
      <c r="BU12" s="17" t="str">
        <f t="shared" si="66"/>
        <v/>
      </c>
      <c r="BV12" s="17" t="str">
        <f t="shared" si="66"/>
        <v/>
      </c>
      <c r="BW12" s="17" t="str">
        <f t="shared" si="66"/>
        <v/>
      </c>
      <c r="BX12" s="17" t="str">
        <f t="shared" si="67"/>
        <v/>
      </c>
      <c r="BY12" s="17" t="str">
        <f t="shared" si="67"/>
        <v/>
      </c>
      <c r="BZ12" s="17" t="str">
        <f t="shared" si="67"/>
        <v/>
      </c>
      <c r="CA12" s="17" t="str">
        <f t="shared" si="67"/>
        <v/>
      </c>
      <c r="CB12" s="17" t="str">
        <f t="shared" si="67"/>
        <v/>
      </c>
      <c r="CC12" s="17" t="str">
        <f t="shared" si="67"/>
        <v/>
      </c>
      <c r="CD12" s="17" t="str">
        <f t="shared" si="67"/>
        <v/>
      </c>
      <c r="CE12" s="17" t="str">
        <f t="shared" si="67"/>
        <v/>
      </c>
      <c r="CF12" s="17" t="str">
        <f t="shared" si="67"/>
        <v/>
      </c>
      <c r="CG12" s="17" t="str">
        <f t="shared" si="67"/>
        <v/>
      </c>
      <c r="CH12" s="17" t="str">
        <f t="shared" si="67"/>
        <v/>
      </c>
      <c r="CI12" s="17" t="str">
        <f t="shared" si="67"/>
        <v/>
      </c>
      <c r="CJ12" s="17" t="str">
        <f t="shared" si="67"/>
        <v/>
      </c>
      <c r="CK12" s="17" t="str">
        <f t="shared" si="67"/>
        <v/>
      </c>
      <c r="CL12" s="17" t="str">
        <f t="shared" si="67"/>
        <v/>
      </c>
      <c r="CM12" s="17" t="str">
        <f t="shared" si="67"/>
        <v/>
      </c>
      <c r="CN12" s="17" t="str">
        <f t="shared" si="67"/>
        <v/>
      </c>
      <c r="CO12" s="17" t="str">
        <f t="shared" si="67"/>
        <v/>
      </c>
      <c r="CP12" s="17" t="str">
        <f t="shared" si="67"/>
        <v/>
      </c>
      <c r="CQ12" s="17" t="str">
        <f t="shared" si="67"/>
        <v/>
      </c>
      <c r="CR12" s="17" t="str">
        <f t="shared" si="67"/>
        <v/>
      </c>
      <c r="CS12" s="17" t="str">
        <f t="shared" si="67"/>
        <v/>
      </c>
      <c r="CT12" s="17" t="str">
        <f t="shared" si="67"/>
        <v/>
      </c>
      <c r="CU12" s="17" t="str">
        <f t="shared" si="67"/>
        <v/>
      </c>
      <c r="CV12" s="17" t="str">
        <f t="shared" si="67"/>
        <v/>
      </c>
      <c r="CW12" s="17" t="str">
        <f t="shared" si="67"/>
        <v/>
      </c>
      <c r="CX12" s="17" t="str">
        <f t="shared" si="67"/>
        <v/>
      </c>
      <c r="CY12" s="17" t="str">
        <f t="shared" si="67"/>
        <v/>
      </c>
      <c r="CZ12" s="17" t="str">
        <f t="shared" si="67"/>
        <v/>
      </c>
      <c r="DA12" s="17" t="str">
        <f t="shared" si="67"/>
        <v/>
      </c>
      <c r="DB12" s="17" t="str">
        <f t="shared" si="67"/>
        <v/>
      </c>
      <c r="DC12" s="17" t="str">
        <f t="shared" si="67"/>
        <v/>
      </c>
      <c r="DE12" s="23">
        <f t="shared" si="68"/>
        <v>0</v>
      </c>
      <c r="DF12" s="23">
        <f t="shared" si="69"/>
        <v>0</v>
      </c>
    </row>
    <row r="13" spans="1:113" ht="15.75" x14ac:dyDescent="0.25">
      <c r="B13" s="28">
        <f>IF(C13="","",B12+1)</f>
        <v>5</v>
      </c>
      <c r="C13" s="56" t="s">
        <v>74</v>
      </c>
      <c r="D13" s="31">
        <v>2</v>
      </c>
      <c r="E13" s="32">
        <v>1</v>
      </c>
      <c r="F13" s="31" t="s">
        <v>60</v>
      </c>
      <c r="G13" s="33">
        <v>1</v>
      </c>
      <c r="H13" s="29">
        <f t="shared" si="73"/>
        <v>45968</v>
      </c>
      <c r="I13" s="29">
        <f t="shared" si="74"/>
        <v>45969</v>
      </c>
      <c r="J13" s="58" t="s">
        <v>127</v>
      </c>
      <c r="K13" s="31" t="s">
        <v>9</v>
      </c>
      <c r="L13" s="34"/>
      <c r="M13" s="30" t="str">
        <f t="shared" si="70"/>
        <v/>
      </c>
      <c r="O13" s="16" t="str">
        <f t="shared" si="71"/>
        <v/>
      </c>
      <c r="P13" s="17" t="str">
        <f t="shared" ref="P13:AQ18" si="75">IF(AND(P$8&gt;=$H13,P$8&lt;=$I13),"x","")</f>
        <v/>
      </c>
      <c r="Q13" s="17" t="str">
        <f t="shared" si="75"/>
        <v>x</v>
      </c>
      <c r="R13" s="17" t="str">
        <f t="shared" si="75"/>
        <v>x</v>
      </c>
      <c r="S13" s="17" t="str">
        <f t="shared" si="75"/>
        <v/>
      </c>
      <c r="T13" s="17" t="str">
        <f t="shared" si="75"/>
        <v/>
      </c>
      <c r="U13" s="17" t="str">
        <f t="shared" si="75"/>
        <v/>
      </c>
      <c r="V13" s="17" t="str">
        <f t="shared" si="75"/>
        <v/>
      </c>
      <c r="W13" s="17" t="str">
        <f t="shared" si="75"/>
        <v/>
      </c>
      <c r="X13" s="17" t="str">
        <f t="shared" si="75"/>
        <v/>
      </c>
      <c r="Y13" s="17" t="str">
        <f t="shared" si="75"/>
        <v/>
      </c>
      <c r="Z13" s="17" t="str">
        <f t="shared" si="75"/>
        <v/>
      </c>
      <c r="AA13" s="17" t="str">
        <f t="shared" si="75"/>
        <v/>
      </c>
      <c r="AB13" s="17" t="str">
        <f t="shared" si="75"/>
        <v/>
      </c>
      <c r="AC13" s="17" t="str">
        <f t="shared" si="75"/>
        <v/>
      </c>
      <c r="AD13" s="17" t="str">
        <f t="shared" si="75"/>
        <v/>
      </c>
      <c r="AE13" s="17" t="str">
        <f t="shared" si="75"/>
        <v/>
      </c>
      <c r="AF13" s="17" t="str">
        <f t="shared" si="75"/>
        <v/>
      </c>
      <c r="AG13" s="17" t="str">
        <f t="shared" si="75"/>
        <v/>
      </c>
      <c r="AH13" s="17" t="str">
        <f t="shared" si="75"/>
        <v/>
      </c>
      <c r="AI13" s="17" t="str">
        <f t="shared" si="75"/>
        <v/>
      </c>
      <c r="AJ13" s="17" t="str">
        <f t="shared" si="75"/>
        <v/>
      </c>
      <c r="AK13" s="17" t="str">
        <f t="shared" si="75"/>
        <v/>
      </c>
      <c r="AL13" s="17" t="str">
        <f t="shared" si="75"/>
        <v/>
      </c>
      <c r="AM13" s="17" t="str">
        <f t="shared" si="75"/>
        <v/>
      </c>
      <c r="AN13" s="17" t="str">
        <f t="shared" si="75"/>
        <v/>
      </c>
      <c r="AO13" s="17" t="str">
        <f t="shared" si="75"/>
        <v/>
      </c>
      <c r="AP13" s="17" t="str">
        <f t="shared" si="75"/>
        <v/>
      </c>
      <c r="AQ13" s="17" t="str">
        <f t="shared" si="75"/>
        <v/>
      </c>
      <c r="AR13" s="17" t="str">
        <f t="shared" si="66"/>
        <v/>
      </c>
      <c r="AS13" s="17" t="str">
        <f t="shared" si="66"/>
        <v/>
      </c>
      <c r="AT13" s="17" t="str">
        <f t="shared" si="66"/>
        <v/>
      </c>
      <c r="AU13" s="17" t="str">
        <f t="shared" si="66"/>
        <v/>
      </c>
      <c r="AV13" s="17" t="str">
        <f t="shared" si="66"/>
        <v/>
      </c>
      <c r="AW13" s="17" t="str">
        <f t="shared" si="66"/>
        <v/>
      </c>
      <c r="AX13" s="17" t="str">
        <f t="shared" si="66"/>
        <v/>
      </c>
      <c r="AY13" s="17" t="str">
        <f t="shared" si="66"/>
        <v/>
      </c>
      <c r="AZ13" s="17" t="str">
        <f t="shared" si="66"/>
        <v/>
      </c>
      <c r="BA13" s="17" t="str">
        <f t="shared" si="66"/>
        <v/>
      </c>
      <c r="BB13" s="17" t="str">
        <f t="shared" si="66"/>
        <v/>
      </c>
      <c r="BC13" s="17" t="str">
        <f t="shared" si="66"/>
        <v/>
      </c>
      <c r="BD13" s="17" t="str">
        <f t="shared" si="66"/>
        <v/>
      </c>
      <c r="BE13" s="17" t="str">
        <f t="shared" si="66"/>
        <v/>
      </c>
      <c r="BF13" s="17" t="str">
        <f t="shared" si="66"/>
        <v/>
      </c>
      <c r="BG13" s="17" t="str">
        <f t="shared" si="66"/>
        <v/>
      </c>
      <c r="BH13" s="17" t="str">
        <f t="shared" si="66"/>
        <v/>
      </c>
      <c r="BI13" s="17" t="str">
        <f t="shared" si="66"/>
        <v/>
      </c>
      <c r="BJ13" s="17" t="str">
        <f t="shared" si="66"/>
        <v/>
      </c>
      <c r="BK13" s="17" t="str">
        <f t="shared" si="66"/>
        <v/>
      </c>
      <c r="BL13" s="17" t="str">
        <f t="shared" si="66"/>
        <v/>
      </c>
      <c r="BM13" s="17" t="str">
        <f t="shared" si="66"/>
        <v/>
      </c>
      <c r="BN13" s="17" t="str">
        <f t="shared" si="66"/>
        <v/>
      </c>
      <c r="BO13" s="17" t="str">
        <f t="shared" si="66"/>
        <v/>
      </c>
      <c r="BP13" s="17" t="str">
        <f t="shared" si="66"/>
        <v/>
      </c>
      <c r="BQ13" s="17" t="str">
        <f t="shared" si="66"/>
        <v/>
      </c>
      <c r="BR13" s="17" t="str">
        <f t="shared" si="66"/>
        <v/>
      </c>
      <c r="BS13" s="17" t="str">
        <f t="shared" si="66"/>
        <v/>
      </c>
      <c r="BT13" s="17" t="str">
        <f t="shared" si="66"/>
        <v/>
      </c>
      <c r="BU13" s="17" t="str">
        <f t="shared" si="66"/>
        <v/>
      </c>
      <c r="BV13" s="17" t="str">
        <f t="shared" si="66"/>
        <v/>
      </c>
      <c r="BW13" s="17" t="str">
        <f t="shared" si="66"/>
        <v/>
      </c>
      <c r="BX13" s="17" t="str">
        <f t="shared" si="67"/>
        <v/>
      </c>
      <c r="BY13" s="17" t="str">
        <f t="shared" si="67"/>
        <v/>
      </c>
      <c r="BZ13" s="17" t="str">
        <f t="shared" si="67"/>
        <v/>
      </c>
      <c r="CA13" s="17" t="str">
        <f t="shared" si="67"/>
        <v/>
      </c>
      <c r="CB13" s="17" t="str">
        <f t="shared" si="67"/>
        <v/>
      </c>
      <c r="CC13" s="17" t="str">
        <f t="shared" si="67"/>
        <v/>
      </c>
      <c r="CD13" s="17" t="str">
        <f t="shared" si="67"/>
        <v/>
      </c>
      <c r="CE13" s="17" t="str">
        <f t="shared" si="67"/>
        <v/>
      </c>
      <c r="CF13" s="17" t="str">
        <f t="shared" si="67"/>
        <v/>
      </c>
      <c r="CG13" s="17" t="str">
        <f t="shared" si="67"/>
        <v/>
      </c>
      <c r="CH13" s="17" t="str">
        <f t="shared" si="67"/>
        <v/>
      </c>
      <c r="CI13" s="17" t="str">
        <f t="shared" si="67"/>
        <v/>
      </c>
      <c r="CJ13" s="17" t="str">
        <f t="shared" si="67"/>
        <v/>
      </c>
      <c r="CK13" s="17" t="str">
        <f t="shared" si="67"/>
        <v/>
      </c>
      <c r="CL13" s="17" t="str">
        <f t="shared" si="67"/>
        <v/>
      </c>
      <c r="CM13" s="17" t="str">
        <f t="shared" si="67"/>
        <v/>
      </c>
      <c r="CN13" s="17" t="str">
        <f t="shared" si="67"/>
        <v/>
      </c>
      <c r="CO13" s="17" t="str">
        <f t="shared" si="67"/>
        <v/>
      </c>
      <c r="CP13" s="17" t="str">
        <f t="shared" si="67"/>
        <v/>
      </c>
      <c r="CQ13" s="17" t="str">
        <f t="shared" si="67"/>
        <v/>
      </c>
      <c r="CR13" s="17" t="str">
        <f t="shared" si="67"/>
        <v/>
      </c>
      <c r="CS13" s="17" t="str">
        <f t="shared" si="67"/>
        <v/>
      </c>
      <c r="CT13" s="17" t="str">
        <f t="shared" si="67"/>
        <v/>
      </c>
      <c r="CU13" s="17" t="str">
        <f t="shared" si="67"/>
        <v/>
      </c>
      <c r="CV13" s="17" t="str">
        <f t="shared" si="67"/>
        <v/>
      </c>
      <c r="CW13" s="17" t="str">
        <f t="shared" si="67"/>
        <v/>
      </c>
      <c r="CX13" s="17" t="str">
        <f t="shared" si="67"/>
        <v/>
      </c>
      <c r="CY13" s="17" t="str">
        <f t="shared" si="67"/>
        <v/>
      </c>
      <c r="CZ13" s="17" t="str">
        <f t="shared" si="67"/>
        <v/>
      </c>
      <c r="DA13" s="17" t="str">
        <f t="shared" si="67"/>
        <v/>
      </c>
      <c r="DB13" s="17" t="str">
        <f t="shared" si="67"/>
        <v/>
      </c>
      <c r="DC13" s="17" t="str">
        <f t="shared" si="67"/>
        <v/>
      </c>
      <c r="DE13" s="23">
        <f t="shared" si="68"/>
        <v>0</v>
      </c>
      <c r="DF13" s="23">
        <f t="shared" si="69"/>
        <v>0</v>
      </c>
    </row>
    <row r="14" spans="1:113" ht="15.75" x14ac:dyDescent="0.25">
      <c r="B14" s="28">
        <f>IF(C14="","",B13+1)</f>
        <v>6</v>
      </c>
      <c r="C14" s="55" t="s">
        <v>89</v>
      </c>
      <c r="D14" s="31">
        <v>1</v>
      </c>
      <c r="E14" s="32">
        <v>5</v>
      </c>
      <c r="F14" s="31" t="s">
        <v>71</v>
      </c>
      <c r="G14" s="33">
        <v>0</v>
      </c>
      <c r="H14" s="29">
        <f t="shared" si="73"/>
        <v>45968</v>
      </c>
      <c r="I14" s="29">
        <f t="shared" si="74"/>
        <v>45968</v>
      </c>
      <c r="J14" s="58" t="s">
        <v>127</v>
      </c>
      <c r="K14" s="31" t="s">
        <v>9</v>
      </c>
      <c r="L14" s="34"/>
      <c r="M14" s="30" t="str">
        <f t="shared" si="70"/>
        <v/>
      </c>
      <c r="O14" s="16" t="str">
        <f t="shared" si="71"/>
        <v/>
      </c>
      <c r="P14" s="17" t="str">
        <f t="shared" si="75"/>
        <v/>
      </c>
      <c r="Q14" s="17" t="str">
        <f t="shared" si="75"/>
        <v>x</v>
      </c>
      <c r="R14" s="17" t="str">
        <f t="shared" si="75"/>
        <v/>
      </c>
      <c r="S14" s="17" t="str">
        <f t="shared" si="75"/>
        <v/>
      </c>
      <c r="T14" s="17" t="str">
        <f t="shared" si="75"/>
        <v/>
      </c>
      <c r="U14" s="17" t="str">
        <f t="shared" si="75"/>
        <v/>
      </c>
      <c r="V14" s="17" t="str">
        <f t="shared" si="75"/>
        <v/>
      </c>
      <c r="W14" s="17" t="str">
        <f t="shared" si="75"/>
        <v/>
      </c>
      <c r="X14" s="17" t="str">
        <f t="shared" si="75"/>
        <v/>
      </c>
      <c r="Y14" s="17" t="str">
        <f t="shared" si="75"/>
        <v/>
      </c>
      <c r="Z14" s="17" t="str">
        <f t="shared" si="75"/>
        <v/>
      </c>
      <c r="AA14" s="17" t="str">
        <f t="shared" si="75"/>
        <v/>
      </c>
      <c r="AB14" s="17" t="str">
        <f t="shared" si="75"/>
        <v/>
      </c>
      <c r="AC14" s="17" t="str">
        <f t="shared" si="75"/>
        <v/>
      </c>
      <c r="AD14" s="17" t="str">
        <f t="shared" si="75"/>
        <v/>
      </c>
      <c r="AE14" s="17" t="str">
        <f t="shared" si="75"/>
        <v/>
      </c>
      <c r="AF14" s="17" t="str">
        <f t="shared" si="75"/>
        <v/>
      </c>
      <c r="AG14" s="17" t="str">
        <f t="shared" si="75"/>
        <v/>
      </c>
      <c r="AH14" s="17" t="str">
        <f t="shared" si="75"/>
        <v/>
      </c>
      <c r="AI14" s="17" t="str">
        <f t="shared" si="75"/>
        <v/>
      </c>
      <c r="AJ14" s="17" t="str">
        <f t="shared" si="75"/>
        <v/>
      </c>
      <c r="AK14" s="17" t="str">
        <f t="shared" si="75"/>
        <v/>
      </c>
      <c r="AL14" s="17" t="str">
        <f t="shared" si="75"/>
        <v/>
      </c>
      <c r="AM14" s="17" t="str">
        <f t="shared" si="75"/>
        <v/>
      </c>
      <c r="AN14" s="17" t="str">
        <f t="shared" si="75"/>
        <v/>
      </c>
      <c r="AO14" s="17" t="str">
        <f t="shared" si="75"/>
        <v/>
      </c>
      <c r="AP14" s="17" t="str">
        <f t="shared" si="75"/>
        <v/>
      </c>
      <c r="AQ14" s="17" t="str">
        <f t="shared" si="66"/>
        <v/>
      </c>
      <c r="AR14" s="17" t="str">
        <f t="shared" si="66"/>
        <v/>
      </c>
      <c r="AS14" s="17" t="str">
        <f t="shared" si="66"/>
        <v/>
      </c>
      <c r="AT14" s="17" t="str">
        <f t="shared" si="66"/>
        <v/>
      </c>
      <c r="AU14" s="17" t="str">
        <f t="shared" si="66"/>
        <v/>
      </c>
      <c r="AV14" s="17" t="str">
        <f t="shared" si="66"/>
        <v/>
      </c>
      <c r="AW14" s="17" t="str">
        <f t="shared" si="66"/>
        <v/>
      </c>
      <c r="AX14" s="17" t="str">
        <f t="shared" si="66"/>
        <v/>
      </c>
      <c r="AY14" s="17" t="str">
        <f t="shared" si="66"/>
        <v/>
      </c>
      <c r="AZ14" s="17" t="str">
        <f t="shared" si="66"/>
        <v/>
      </c>
      <c r="BA14" s="17" t="str">
        <f t="shared" si="66"/>
        <v/>
      </c>
      <c r="BB14" s="17" t="str">
        <f t="shared" si="66"/>
        <v/>
      </c>
      <c r="BC14" s="17" t="str">
        <f t="shared" si="66"/>
        <v/>
      </c>
      <c r="BD14" s="17" t="str">
        <f t="shared" si="66"/>
        <v/>
      </c>
      <c r="BE14" s="17" t="str">
        <f t="shared" si="66"/>
        <v/>
      </c>
      <c r="BF14" s="17" t="str">
        <f t="shared" si="66"/>
        <v/>
      </c>
      <c r="BG14" s="17" t="str">
        <f t="shared" si="66"/>
        <v/>
      </c>
      <c r="BH14" s="17" t="str">
        <f t="shared" si="66"/>
        <v/>
      </c>
      <c r="BI14" s="17" t="str">
        <f t="shared" si="66"/>
        <v/>
      </c>
      <c r="BJ14" s="17" t="str">
        <f t="shared" si="66"/>
        <v/>
      </c>
      <c r="BK14" s="17" t="str">
        <f t="shared" si="66"/>
        <v/>
      </c>
      <c r="BL14" s="17" t="str">
        <f t="shared" si="66"/>
        <v/>
      </c>
      <c r="BM14" s="17" t="str">
        <f t="shared" si="66"/>
        <v/>
      </c>
      <c r="BN14" s="17" t="str">
        <f t="shared" si="66"/>
        <v/>
      </c>
      <c r="BO14" s="17" t="str">
        <f t="shared" si="66"/>
        <v/>
      </c>
      <c r="BP14" s="17" t="str">
        <f t="shared" si="66"/>
        <v/>
      </c>
      <c r="BQ14" s="17" t="str">
        <f t="shared" si="66"/>
        <v/>
      </c>
      <c r="BR14" s="17" t="str">
        <f t="shared" si="66"/>
        <v/>
      </c>
      <c r="BS14" s="17" t="str">
        <f t="shared" si="66"/>
        <v/>
      </c>
      <c r="BT14" s="17" t="str">
        <f t="shared" si="66"/>
        <v/>
      </c>
      <c r="BU14" s="17" t="str">
        <f t="shared" si="66"/>
        <v/>
      </c>
      <c r="BV14" s="17" t="str">
        <f t="shared" si="66"/>
        <v/>
      </c>
      <c r="BW14" s="17" t="str">
        <f t="shared" si="66"/>
        <v/>
      </c>
      <c r="BX14" s="17" t="str">
        <f t="shared" si="67"/>
        <v/>
      </c>
      <c r="BY14" s="17" t="str">
        <f t="shared" si="67"/>
        <v/>
      </c>
      <c r="BZ14" s="17" t="str">
        <f t="shared" si="67"/>
        <v/>
      </c>
      <c r="CA14" s="17" t="str">
        <f t="shared" si="67"/>
        <v/>
      </c>
      <c r="CB14" s="17" t="str">
        <f t="shared" si="67"/>
        <v/>
      </c>
      <c r="CC14" s="17" t="str">
        <f t="shared" si="67"/>
        <v/>
      </c>
      <c r="CD14" s="17" t="str">
        <f t="shared" si="67"/>
        <v/>
      </c>
      <c r="CE14" s="17" t="str">
        <f t="shared" si="67"/>
        <v/>
      </c>
      <c r="CF14" s="17" t="str">
        <f t="shared" si="67"/>
        <v/>
      </c>
      <c r="CG14" s="17" t="str">
        <f t="shared" si="67"/>
        <v/>
      </c>
      <c r="CH14" s="17" t="str">
        <f t="shared" si="67"/>
        <v/>
      </c>
      <c r="CI14" s="17" t="str">
        <f t="shared" si="67"/>
        <v/>
      </c>
      <c r="CJ14" s="17" t="str">
        <f t="shared" si="67"/>
        <v/>
      </c>
      <c r="CK14" s="17" t="str">
        <f t="shared" si="67"/>
        <v/>
      </c>
      <c r="CL14" s="17" t="str">
        <f t="shared" si="67"/>
        <v/>
      </c>
      <c r="CM14" s="17" t="str">
        <f t="shared" si="67"/>
        <v/>
      </c>
      <c r="CN14" s="17" t="str">
        <f t="shared" si="67"/>
        <v/>
      </c>
      <c r="CO14" s="17" t="str">
        <f t="shared" si="67"/>
        <v/>
      </c>
      <c r="CP14" s="17" t="str">
        <f t="shared" si="67"/>
        <v/>
      </c>
      <c r="CQ14" s="17" t="str">
        <f t="shared" si="67"/>
        <v/>
      </c>
      <c r="CR14" s="17" t="str">
        <f t="shared" si="67"/>
        <v/>
      </c>
      <c r="CS14" s="17" t="str">
        <f t="shared" si="67"/>
        <v/>
      </c>
      <c r="CT14" s="17" t="str">
        <f t="shared" si="67"/>
        <v/>
      </c>
      <c r="CU14" s="17" t="str">
        <f t="shared" si="67"/>
        <v/>
      </c>
      <c r="CV14" s="17" t="str">
        <f t="shared" si="67"/>
        <v/>
      </c>
      <c r="CW14" s="17" t="str">
        <f t="shared" si="67"/>
        <v/>
      </c>
      <c r="CX14" s="17" t="str">
        <f t="shared" si="67"/>
        <v/>
      </c>
      <c r="CY14" s="17" t="str">
        <f t="shared" si="67"/>
        <v/>
      </c>
      <c r="CZ14" s="17" t="str">
        <f t="shared" si="67"/>
        <v/>
      </c>
      <c r="DA14" s="17" t="str">
        <f t="shared" si="67"/>
        <v/>
      </c>
      <c r="DB14" s="17" t="str">
        <f t="shared" si="67"/>
        <v/>
      </c>
      <c r="DC14" s="17" t="str">
        <f t="shared" si="67"/>
        <v/>
      </c>
      <c r="DE14" s="23">
        <f t="shared" si="68"/>
        <v>0</v>
      </c>
      <c r="DF14" s="23">
        <f t="shared" si="69"/>
        <v>0</v>
      </c>
    </row>
    <row r="15" spans="1:113" ht="15.75" x14ac:dyDescent="0.25">
      <c r="B15" s="28">
        <f>IF(C15="","",B14+1)</f>
        <v>7</v>
      </c>
      <c r="C15" s="55" t="s">
        <v>90</v>
      </c>
      <c r="D15" s="31">
        <v>1</v>
      </c>
      <c r="E15" s="32">
        <v>6</v>
      </c>
      <c r="F15" s="31" t="s">
        <v>60</v>
      </c>
      <c r="G15" s="33">
        <v>0</v>
      </c>
      <c r="H15" s="29">
        <f t="shared" si="73"/>
        <v>45968</v>
      </c>
      <c r="I15" s="29">
        <f t="shared" si="74"/>
        <v>45968</v>
      </c>
      <c r="J15" s="58" t="s">
        <v>127</v>
      </c>
      <c r="K15" s="31" t="s">
        <v>9</v>
      </c>
      <c r="L15" s="34"/>
      <c r="M15" s="30" t="str">
        <f t="shared" si="70"/>
        <v/>
      </c>
      <c r="O15" s="16" t="str">
        <f t="shared" si="71"/>
        <v/>
      </c>
      <c r="P15" s="17" t="str">
        <f t="shared" si="75"/>
        <v/>
      </c>
      <c r="Q15" s="17" t="str">
        <f t="shared" si="75"/>
        <v>x</v>
      </c>
      <c r="R15" s="17" t="str">
        <f t="shared" si="75"/>
        <v/>
      </c>
      <c r="S15" s="17" t="str">
        <f t="shared" si="75"/>
        <v/>
      </c>
      <c r="T15" s="17" t="str">
        <f t="shared" si="75"/>
        <v/>
      </c>
      <c r="U15" s="17" t="str">
        <f t="shared" si="75"/>
        <v/>
      </c>
      <c r="V15" s="17" t="str">
        <f t="shared" si="75"/>
        <v/>
      </c>
      <c r="W15" s="17" t="str">
        <f t="shared" si="75"/>
        <v/>
      </c>
      <c r="X15" s="17" t="str">
        <f t="shared" si="75"/>
        <v/>
      </c>
      <c r="Y15" s="17" t="str">
        <f t="shared" si="75"/>
        <v/>
      </c>
      <c r="Z15" s="17" t="str">
        <f t="shared" si="75"/>
        <v/>
      </c>
      <c r="AA15" s="17" t="str">
        <f t="shared" si="75"/>
        <v/>
      </c>
      <c r="AB15" s="17" t="str">
        <f t="shared" si="75"/>
        <v/>
      </c>
      <c r="AC15" s="17" t="str">
        <f t="shared" si="75"/>
        <v/>
      </c>
      <c r="AD15" s="17" t="str">
        <f t="shared" si="75"/>
        <v/>
      </c>
      <c r="AE15" s="17" t="str">
        <f t="shared" si="75"/>
        <v/>
      </c>
      <c r="AF15" s="17" t="str">
        <f t="shared" si="75"/>
        <v/>
      </c>
      <c r="AG15" s="17" t="str">
        <f t="shared" si="75"/>
        <v/>
      </c>
      <c r="AH15" s="17" t="str">
        <f t="shared" si="75"/>
        <v/>
      </c>
      <c r="AI15" s="17" t="str">
        <f t="shared" si="75"/>
        <v/>
      </c>
      <c r="AJ15" s="17" t="str">
        <f t="shared" si="75"/>
        <v/>
      </c>
      <c r="AK15" s="17" t="str">
        <f t="shared" si="75"/>
        <v/>
      </c>
      <c r="AL15" s="17" t="str">
        <f t="shared" si="75"/>
        <v/>
      </c>
      <c r="AM15" s="17" t="str">
        <f t="shared" si="75"/>
        <v/>
      </c>
      <c r="AN15" s="17" t="str">
        <f t="shared" si="75"/>
        <v/>
      </c>
      <c r="AO15" s="17" t="str">
        <f t="shared" si="75"/>
        <v/>
      </c>
      <c r="AP15" s="17" t="str">
        <f t="shared" si="75"/>
        <v/>
      </c>
      <c r="AQ15" s="17" t="str">
        <f t="shared" si="66"/>
        <v/>
      </c>
      <c r="AR15" s="17" t="str">
        <f t="shared" si="66"/>
        <v/>
      </c>
      <c r="AS15" s="17" t="str">
        <f t="shared" si="66"/>
        <v/>
      </c>
      <c r="AT15" s="17" t="str">
        <f t="shared" si="66"/>
        <v/>
      </c>
      <c r="AU15" s="17" t="str">
        <f t="shared" si="66"/>
        <v/>
      </c>
      <c r="AV15" s="17" t="str">
        <f t="shared" si="66"/>
        <v/>
      </c>
      <c r="AW15" s="17" t="str">
        <f t="shared" si="66"/>
        <v/>
      </c>
      <c r="AX15" s="17" t="str">
        <f t="shared" si="66"/>
        <v/>
      </c>
      <c r="AY15" s="17" t="str">
        <f t="shared" si="66"/>
        <v/>
      </c>
      <c r="AZ15" s="17" t="str">
        <f t="shared" si="66"/>
        <v/>
      </c>
      <c r="BA15" s="17" t="str">
        <f t="shared" si="66"/>
        <v/>
      </c>
      <c r="BB15" s="17" t="str">
        <f t="shared" si="66"/>
        <v/>
      </c>
      <c r="BC15" s="17" t="str">
        <f t="shared" si="66"/>
        <v/>
      </c>
      <c r="BD15" s="17" t="str">
        <f t="shared" si="66"/>
        <v/>
      </c>
      <c r="BE15" s="17" t="str">
        <f t="shared" si="66"/>
        <v/>
      </c>
      <c r="BF15" s="17" t="str">
        <f t="shared" si="66"/>
        <v/>
      </c>
      <c r="BG15" s="17" t="str">
        <f t="shared" si="66"/>
        <v/>
      </c>
      <c r="BH15" s="17" t="str">
        <f t="shared" si="66"/>
        <v/>
      </c>
      <c r="BI15" s="17" t="str">
        <f t="shared" si="66"/>
        <v/>
      </c>
      <c r="BJ15" s="17" t="str">
        <f t="shared" si="66"/>
        <v/>
      </c>
      <c r="BK15" s="17" t="str">
        <f t="shared" si="66"/>
        <v/>
      </c>
      <c r="BL15" s="17" t="str">
        <f t="shared" si="66"/>
        <v/>
      </c>
      <c r="BM15" s="17" t="str">
        <f t="shared" si="66"/>
        <v/>
      </c>
      <c r="BN15" s="17" t="str">
        <f t="shared" si="66"/>
        <v/>
      </c>
      <c r="BO15" s="17" t="str">
        <f t="shared" si="66"/>
        <v/>
      </c>
      <c r="BP15" s="17" t="str">
        <f t="shared" si="66"/>
        <v/>
      </c>
      <c r="BQ15" s="17" t="str">
        <f t="shared" si="66"/>
        <v/>
      </c>
      <c r="BR15" s="17" t="str">
        <f t="shared" si="66"/>
        <v/>
      </c>
      <c r="BS15" s="17" t="str">
        <f t="shared" si="66"/>
        <v/>
      </c>
      <c r="BT15" s="17" t="str">
        <f t="shared" si="66"/>
        <v/>
      </c>
      <c r="BU15" s="17" t="str">
        <f t="shared" si="66"/>
        <v/>
      </c>
      <c r="BV15" s="17" t="str">
        <f t="shared" si="66"/>
        <v/>
      </c>
      <c r="BW15" s="17" t="str">
        <f t="shared" si="66"/>
        <v/>
      </c>
      <c r="BX15" s="17" t="str">
        <f t="shared" si="67"/>
        <v/>
      </c>
      <c r="BY15" s="17" t="str">
        <f t="shared" si="67"/>
        <v/>
      </c>
      <c r="BZ15" s="17" t="str">
        <f t="shared" si="67"/>
        <v/>
      </c>
      <c r="CA15" s="17" t="str">
        <f t="shared" si="67"/>
        <v/>
      </c>
      <c r="CB15" s="17" t="str">
        <f t="shared" si="67"/>
        <v/>
      </c>
      <c r="CC15" s="17" t="str">
        <f t="shared" si="67"/>
        <v/>
      </c>
      <c r="CD15" s="17" t="str">
        <f t="shared" si="67"/>
        <v/>
      </c>
      <c r="CE15" s="17" t="str">
        <f t="shared" si="67"/>
        <v/>
      </c>
      <c r="CF15" s="17" t="str">
        <f t="shared" si="67"/>
        <v/>
      </c>
      <c r="CG15" s="17" t="str">
        <f t="shared" si="67"/>
        <v/>
      </c>
      <c r="CH15" s="17" t="str">
        <f t="shared" si="67"/>
        <v/>
      </c>
      <c r="CI15" s="17" t="str">
        <f t="shared" si="67"/>
        <v/>
      </c>
      <c r="CJ15" s="17" t="str">
        <f t="shared" si="67"/>
        <v/>
      </c>
      <c r="CK15" s="17" t="str">
        <f t="shared" si="67"/>
        <v/>
      </c>
      <c r="CL15" s="17" t="str">
        <f t="shared" si="67"/>
        <v/>
      </c>
      <c r="CM15" s="17" t="str">
        <f t="shared" si="67"/>
        <v/>
      </c>
      <c r="CN15" s="17" t="str">
        <f t="shared" si="67"/>
        <v/>
      </c>
      <c r="CO15" s="17" t="str">
        <f t="shared" si="67"/>
        <v/>
      </c>
      <c r="CP15" s="17" t="str">
        <f t="shared" si="67"/>
        <v/>
      </c>
      <c r="CQ15" s="17" t="str">
        <f t="shared" si="67"/>
        <v/>
      </c>
      <c r="CR15" s="17" t="str">
        <f t="shared" si="67"/>
        <v/>
      </c>
      <c r="CS15" s="17" t="str">
        <f t="shared" si="67"/>
        <v/>
      </c>
      <c r="CT15" s="17" t="str">
        <f t="shared" si="67"/>
        <v/>
      </c>
      <c r="CU15" s="17" t="str">
        <f t="shared" si="67"/>
        <v/>
      </c>
      <c r="CV15" s="17" t="str">
        <f t="shared" si="67"/>
        <v/>
      </c>
      <c r="CW15" s="17" t="str">
        <f t="shared" si="67"/>
        <v/>
      </c>
      <c r="CX15" s="17" t="str">
        <f t="shared" si="67"/>
        <v/>
      </c>
      <c r="CY15" s="17" t="str">
        <f t="shared" si="67"/>
        <v/>
      </c>
      <c r="CZ15" s="17" t="str">
        <f t="shared" si="67"/>
        <v/>
      </c>
      <c r="DA15" s="17" t="str">
        <f t="shared" si="67"/>
        <v/>
      </c>
      <c r="DB15" s="17" t="str">
        <f t="shared" si="67"/>
        <v/>
      </c>
      <c r="DC15" s="17" t="str">
        <f t="shared" si="67"/>
        <v/>
      </c>
      <c r="DE15" s="23">
        <f t="shared" si="68"/>
        <v>0</v>
      </c>
      <c r="DF15" s="23">
        <f t="shared" si="69"/>
        <v>0</v>
      </c>
    </row>
    <row r="16" spans="1:113" ht="15.75" x14ac:dyDescent="0.25">
      <c r="B16" s="28">
        <v>8</v>
      </c>
      <c r="C16" s="55" t="s">
        <v>91</v>
      </c>
      <c r="D16" s="31">
        <v>1</v>
      </c>
      <c r="E16" s="32">
        <v>7</v>
      </c>
      <c r="F16" s="31" t="s">
        <v>60</v>
      </c>
      <c r="G16" s="33">
        <v>1</v>
      </c>
      <c r="H16" s="29">
        <f t="shared" si="73"/>
        <v>45969</v>
      </c>
      <c r="I16" s="29">
        <f t="shared" si="74"/>
        <v>45969</v>
      </c>
      <c r="J16" s="58" t="s">
        <v>127</v>
      </c>
      <c r="K16" s="31" t="s">
        <v>9</v>
      </c>
      <c r="L16" s="34"/>
      <c r="M16" s="30" t="str">
        <f t="shared" si="70"/>
        <v/>
      </c>
      <c r="O16" s="16" t="str">
        <f t="shared" si="71"/>
        <v/>
      </c>
      <c r="P16" s="17" t="str">
        <f t="shared" si="75"/>
        <v/>
      </c>
      <c r="Q16" s="17" t="str">
        <f t="shared" si="75"/>
        <v/>
      </c>
      <c r="R16" s="17" t="str">
        <f t="shared" si="75"/>
        <v>x</v>
      </c>
      <c r="S16" s="17" t="str">
        <f t="shared" si="75"/>
        <v/>
      </c>
      <c r="T16" s="17" t="str">
        <f t="shared" si="75"/>
        <v/>
      </c>
      <c r="U16" s="17" t="str">
        <f t="shared" si="75"/>
        <v/>
      </c>
      <c r="V16" s="17" t="str">
        <f t="shared" si="75"/>
        <v/>
      </c>
      <c r="W16" s="17" t="str">
        <f t="shared" si="75"/>
        <v/>
      </c>
      <c r="X16" s="17" t="str">
        <f t="shared" si="75"/>
        <v/>
      </c>
      <c r="Y16" s="17" t="str">
        <f t="shared" si="75"/>
        <v/>
      </c>
      <c r="Z16" s="17" t="str">
        <f t="shared" si="75"/>
        <v/>
      </c>
      <c r="AA16" s="17" t="str">
        <f t="shared" si="75"/>
        <v/>
      </c>
      <c r="AB16" s="17" t="str">
        <f t="shared" si="75"/>
        <v/>
      </c>
      <c r="AC16" s="17" t="str">
        <f t="shared" si="75"/>
        <v/>
      </c>
      <c r="AD16" s="17" t="str">
        <f t="shared" si="75"/>
        <v/>
      </c>
      <c r="AE16" s="17" t="str">
        <f t="shared" si="75"/>
        <v/>
      </c>
      <c r="AF16" s="17" t="str">
        <f t="shared" si="75"/>
        <v/>
      </c>
      <c r="AG16" s="17" t="str">
        <f t="shared" si="75"/>
        <v/>
      </c>
      <c r="AH16" s="17" t="str">
        <f t="shared" si="75"/>
        <v/>
      </c>
      <c r="AI16" s="17" t="str">
        <f t="shared" si="75"/>
        <v/>
      </c>
      <c r="AJ16" s="17" t="str">
        <f t="shared" si="75"/>
        <v/>
      </c>
      <c r="AK16" s="17" t="str">
        <f t="shared" si="75"/>
        <v/>
      </c>
      <c r="AL16" s="17" t="str">
        <f t="shared" si="75"/>
        <v/>
      </c>
      <c r="AM16" s="17" t="str">
        <f t="shared" si="75"/>
        <v/>
      </c>
      <c r="AN16" s="17" t="str">
        <f t="shared" si="75"/>
        <v/>
      </c>
      <c r="AO16" s="17" t="str">
        <f t="shared" si="75"/>
        <v/>
      </c>
      <c r="AP16" s="17" t="str">
        <f t="shared" si="75"/>
        <v/>
      </c>
      <c r="AQ16" s="17" t="str">
        <f t="shared" si="75"/>
        <v/>
      </c>
      <c r="AR16" s="17" t="str">
        <f t="shared" ref="AR16:BX17" si="76">IF(AND(AR$8&gt;=$H16,AR$8&lt;=$I16),"x","")</f>
        <v/>
      </c>
      <c r="AS16" s="17" t="str">
        <f t="shared" si="76"/>
        <v/>
      </c>
      <c r="AT16" s="17" t="str">
        <f t="shared" si="76"/>
        <v/>
      </c>
      <c r="AU16" s="17" t="str">
        <f t="shared" si="76"/>
        <v/>
      </c>
      <c r="AV16" s="17" t="str">
        <f t="shared" si="76"/>
        <v/>
      </c>
      <c r="AW16" s="17" t="str">
        <f t="shared" si="76"/>
        <v/>
      </c>
      <c r="AX16" s="17" t="str">
        <f t="shared" si="76"/>
        <v/>
      </c>
      <c r="AY16" s="17" t="str">
        <f t="shared" si="76"/>
        <v/>
      </c>
      <c r="AZ16" s="17" t="str">
        <f t="shared" si="76"/>
        <v/>
      </c>
      <c r="BA16" s="17" t="str">
        <f t="shared" si="76"/>
        <v/>
      </c>
      <c r="BB16" s="17" t="str">
        <f t="shared" si="76"/>
        <v/>
      </c>
      <c r="BC16" s="17" t="str">
        <f t="shared" si="76"/>
        <v/>
      </c>
      <c r="BD16" s="17" t="str">
        <f t="shared" si="76"/>
        <v/>
      </c>
      <c r="BE16" s="17" t="str">
        <f t="shared" si="76"/>
        <v/>
      </c>
      <c r="BF16" s="17" t="str">
        <f t="shared" si="76"/>
        <v/>
      </c>
      <c r="BG16" s="17" t="str">
        <f t="shared" si="76"/>
        <v/>
      </c>
      <c r="BH16" s="17" t="str">
        <f t="shared" si="76"/>
        <v/>
      </c>
      <c r="BI16" s="17" t="str">
        <f t="shared" si="76"/>
        <v/>
      </c>
      <c r="BJ16" s="17" t="str">
        <f t="shared" si="76"/>
        <v/>
      </c>
      <c r="BK16" s="17" t="str">
        <f t="shared" si="76"/>
        <v/>
      </c>
      <c r="BL16" s="17" t="str">
        <f t="shared" si="76"/>
        <v/>
      </c>
      <c r="BM16" s="17" t="str">
        <f t="shared" si="76"/>
        <v/>
      </c>
      <c r="BN16" s="17" t="str">
        <f t="shared" si="76"/>
        <v/>
      </c>
      <c r="BO16" s="17" t="str">
        <f t="shared" si="76"/>
        <v/>
      </c>
      <c r="BP16" s="17" t="str">
        <f t="shared" si="76"/>
        <v/>
      </c>
      <c r="BQ16" s="17" t="str">
        <f t="shared" si="76"/>
        <v/>
      </c>
      <c r="BR16" s="17" t="str">
        <f t="shared" si="76"/>
        <v/>
      </c>
      <c r="BS16" s="17" t="str">
        <f t="shared" si="76"/>
        <v/>
      </c>
      <c r="BT16" s="17" t="str">
        <f t="shared" si="76"/>
        <v/>
      </c>
      <c r="BU16" s="17" t="str">
        <f t="shared" si="76"/>
        <v/>
      </c>
      <c r="BV16" s="17" t="str">
        <f t="shared" si="76"/>
        <v/>
      </c>
      <c r="BW16" s="17" t="str">
        <f t="shared" si="76"/>
        <v/>
      </c>
      <c r="BX16" s="17" t="str">
        <f t="shared" si="67"/>
        <v/>
      </c>
      <c r="BY16" s="17" t="str">
        <f t="shared" si="67"/>
        <v/>
      </c>
      <c r="BZ16" s="17" t="str">
        <f t="shared" si="67"/>
        <v/>
      </c>
      <c r="CA16" s="17" t="str">
        <f t="shared" si="67"/>
        <v/>
      </c>
      <c r="CB16" s="17" t="str">
        <f t="shared" si="67"/>
        <v/>
      </c>
      <c r="CC16" s="17" t="str">
        <f t="shared" si="67"/>
        <v/>
      </c>
      <c r="CD16" s="17" t="str">
        <f t="shared" si="67"/>
        <v/>
      </c>
      <c r="CE16" s="17" t="str">
        <f t="shared" si="67"/>
        <v/>
      </c>
      <c r="CF16" s="17" t="str">
        <f t="shared" si="67"/>
        <v/>
      </c>
      <c r="CG16" s="17" t="str">
        <f t="shared" si="67"/>
        <v/>
      </c>
      <c r="CH16" s="17" t="str">
        <f t="shared" si="67"/>
        <v/>
      </c>
      <c r="CI16" s="17" t="str">
        <f t="shared" si="67"/>
        <v/>
      </c>
      <c r="CJ16" s="17" t="str">
        <f t="shared" si="67"/>
        <v/>
      </c>
      <c r="CK16" s="17" t="str">
        <f t="shared" si="67"/>
        <v/>
      </c>
      <c r="CL16" s="17" t="str">
        <f t="shared" si="67"/>
        <v/>
      </c>
      <c r="CM16" s="17" t="str">
        <f t="shared" si="67"/>
        <v/>
      </c>
      <c r="CN16" s="17" t="str">
        <f t="shared" si="67"/>
        <v/>
      </c>
      <c r="CO16" s="17" t="str">
        <f t="shared" si="67"/>
        <v/>
      </c>
      <c r="CP16" s="17" t="str">
        <f t="shared" si="67"/>
        <v/>
      </c>
      <c r="CQ16" s="17" t="str">
        <f t="shared" si="67"/>
        <v/>
      </c>
      <c r="CR16" s="17" t="str">
        <f t="shared" si="67"/>
        <v/>
      </c>
      <c r="CS16" s="17" t="str">
        <f t="shared" si="67"/>
        <v/>
      </c>
      <c r="CT16" s="17" t="str">
        <f t="shared" si="67"/>
        <v/>
      </c>
      <c r="CU16" s="17" t="str">
        <f t="shared" si="67"/>
        <v/>
      </c>
      <c r="CV16" s="17" t="str">
        <f t="shared" si="67"/>
        <v/>
      </c>
      <c r="CW16" s="17" t="str">
        <f t="shared" si="67"/>
        <v/>
      </c>
      <c r="CX16" s="17" t="str">
        <f t="shared" si="67"/>
        <v/>
      </c>
      <c r="CY16" s="17" t="str">
        <f t="shared" si="67"/>
        <v/>
      </c>
      <c r="CZ16" s="17" t="str">
        <f t="shared" si="67"/>
        <v/>
      </c>
      <c r="DA16" s="17" t="str">
        <f t="shared" si="67"/>
        <v/>
      </c>
      <c r="DB16" s="17" t="str">
        <f t="shared" si="67"/>
        <v/>
      </c>
      <c r="DC16" s="17" t="str">
        <f t="shared" ref="DC16:DC17" si="77">IF(AND(DC$8&gt;=$H16,DC$8&lt;=$I16),"x","")</f>
        <v/>
      </c>
      <c r="DE16" s="23">
        <f t="shared" ref="DE16:DE17" si="78">IF(K16="Completado",IF(M16&lt;D16,D16-M16,0),0)</f>
        <v>0</v>
      </c>
      <c r="DF16" s="23">
        <f t="shared" ref="DF16:DF17" si="79">IFERROR(IF(K16="Completado",IF(M16&gt;D16,M16-D16,0),0),0)</f>
        <v>0</v>
      </c>
    </row>
    <row r="17" spans="2:110" ht="15.75" x14ac:dyDescent="0.25">
      <c r="B17" s="28">
        <v>9</v>
      </c>
      <c r="C17" s="55" t="s">
        <v>92</v>
      </c>
      <c r="D17" s="31">
        <v>1</v>
      </c>
      <c r="E17" s="32">
        <v>8</v>
      </c>
      <c r="F17" s="31" t="s">
        <v>60</v>
      </c>
      <c r="G17" s="33">
        <v>0</v>
      </c>
      <c r="H17" s="29">
        <f t="shared" si="73"/>
        <v>45969</v>
      </c>
      <c r="I17" s="29">
        <f t="shared" ref="I17" si="80">IF(H17="","",H17+D17-1)</f>
        <v>45969</v>
      </c>
      <c r="J17" s="58" t="s">
        <v>127</v>
      </c>
      <c r="K17" s="31" t="s">
        <v>9</v>
      </c>
      <c r="L17" s="34"/>
      <c r="M17" s="30" t="str">
        <f t="shared" si="70"/>
        <v/>
      </c>
      <c r="O17" s="16" t="str">
        <f t="shared" si="71"/>
        <v/>
      </c>
      <c r="P17" s="17" t="str">
        <f t="shared" si="75"/>
        <v/>
      </c>
      <c r="Q17" s="17" t="str">
        <f t="shared" si="75"/>
        <v/>
      </c>
      <c r="R17" s="17" t="str">
        <f t="shared" si="75"/>
        <v>x</v>
      </c>
      <c r="S17" s="17" t="str">
        <f t="shared" si="75"/>
        <v/>
      </c>
      <c r="T17" s="17" t="str">
        <f t="shared" si="75"/>
        <v/>
      </c>
      <c r="U17" s="17" t="str">
        <f t="shared" si="75"/>
        <v/>
      </c>
      <c r="V17" s="17" t="str">
        <f t="shared" si="75"/>
        <v/>
      </c>
      <c r="W17" s="17" t="str">
        <f t="shared" si="75"/>
        <v/>
      </c>
      <c r="X17" s="17" t="str">
        <f t="shared" si="75"/>
        <v/>
      </c>
      <c r="Y17" s="17" t="str">
        <f t="shared" si="75"/>
        <v/>
      </c>
      <c r="Z17" s="17" t="str">
        <f t="shared" si="75"/>
        <v/>
      </c>
      <c r="AA17" s="17" t="str">
        <f t="shared" si="75"/>
        <v/>
      </c>
      <c r="AB17" s="17" t="str">
        <f t="shared" si="75"/>
        <v/>
      </c>
      <c r="AC17" s="17" t="str">
        <f t="shared" si="75"/>
        <v/>
      </c>
      <c r="AD17" s="17" t="str">
        <f t="shared" si="75"/>
        <v/>
      </c>
      <c r="AE17" s="17" t="str">
        <f t="shared" si="75"/>
        <v/>
      </c>
      <c r="AF17" s="17" t="str">
        <f t="shared" si="75"/>
        <v/>
      </c>
      <c r="AG17" s="17" t="str">
        <f t="shared" si="75"/>
        <v/>
      </c>
      <c r="AH17" s="17" t="str">
        <f t="shared" si="75"/>
        <v/>
      </c>
      <c r="AI17" s="17" t="str">
        <f t="shared" si="75"/>
        <v/>
      </c>
      <c r="AJ17" s="17" t="str">
        <f t="shared" si="75"/>
        <v/>
      </c>
      <c r="AK17" s="17" t="str">
        <f t="shared" si="75"/>
        <v/>
      </c>
      <c r="AL17" s="17" t="str">
        <f t="shared" si="75"/>
        <v/>
      </c>
      <c r="AM17" s="17" t="str">
        <f t="shared" si="75"/>
        <v/>
      </c>
      <c r="AN17" s="17" t="str">
        <f t="shared" si="75"/>
        <v/>
      </c>
      <c r="AO17" s="17" t="str">
        <f t="shared" si="75"/>
        <v/>
      </c>
      <c r="AP17" s="17" t="str">
        <f t="shared" si="75"/>
        <v/>
      </c>
      <c r="AQ17" s="17" t="str">
        <f t="shared" si="75"/>
        <v/>
      </c>
      <c r="AR17" s="17" t="str">
        <f t="shared" si="76"/>
        <v/>
      </c>
      <c r="AS17" s="17" t="str">
        <f t="shared" si="76"/>
        <v/>
      </c>
      <c r="AT17" s="17" t="str">
        <f t="shared" si="76"/>
        <v/>
      </c>
      <c r="AU17" s="17" t="str">
        <f t="shared" si="76"/>
        <v/>
      </c>
      <c r="AV17" s="17" t="str">
        <f t="shared" si="76"/>
        <v/>
      </c>
      <c r="AW17" s="17" t="str">
        <f t="shared" si="76"/>
        <v/>
      </c>
      <c r="AX17" s="17" t="str">
        <f t="shared" si="76"/>
        <v/>
      </c>
      <c r="AY17" s="17" t="str">
        <f t="shared" si="76"/>
        <v/>
      </c>
      <c r="AZ17" s="17" t="str">
        <f t="shared" si="76"/>
        <v/>
      </c>
      <c r="BA17" s="17" t="str">
        <f t="shared" si="76"/>
        <v/>
      </c>
      <c r="BB17" s="17" t="str">
        <f t="shared" si="76"/>
        <v/>
      </c>
      <c r="BC17" s="17" t="str">
        <f t="shared" si="76"/>
        <v/>
      </c>
      <c r="BD17" s="17" t="str">
        <f t="shared" si="76"/>
        <v/>
      </c>
      <c r="BE17" s="17" t="str">
        <f t="shared" si="76"/>
        <v/>
      </c>
      <c r="BF17" s="17" t="str">
        <f t="shared" si="76"/>
        <v/>
      </c>
      <c r="BG17" s="17" t="str">
        <f t="shared" si="76"/>
        <v/>
      </c>
      <c r="BH17" s="17" t="str">
        <f t="shared" si="76"/>
        <v/>
      </c>
      <c r="BI17" s="17" t="str">
        <f t="shared" si="76"/>
        <v/>
      </c>
      <c r="BJ17" s="17" t="str">
        <f t="shared" si="76"/>
        <v/>
      </c>
      <c r="BK17" s="17" t="str">
        <f t="shared" si="76"/>
        <v/>
      </c>
      <c r="BL17" s="17" t="str">
        <f t="shared" si="76"/>
        <v/>
      </c>
      <c r="BM17" s="17" t="str">
        <f t="shared" si="76"/>
        <v/>
      </c>
      <c r="BN17" s="17" t="str">
        <f t="shared" si="76"/>
        <v/>
      </c>
      <c r="BO17" s="17" t="str">
        <f t="shared" si="76"/>
        <v/>
      </c>
      <c r="BP17" s="17" t="str">
        <f t="shared" si="76"/>
        <v/>
      </c>
      <c r="BQ17" s="17" t="str">
        <f t="shared" si="76"/>
        <v/>
      </c>
      <c r="BR17" s="17" t="str">
        <f t="shared" si="76"/>
        <v/>
      </c>
      <c r="BS17" s="17" t="str">
        <f t="shared" si="76"/>
        <v/>
      </c>
      <c r="BT17" s="17" t="str">
        <f t="shared" si="76"/>
        <v/>
      </c>
      <c r="BU17" s="17" t="str">
        <f t="shared" si="76"/>
        <v/>
      </c>
      <c r="BV17" s="17" t="str">
        <f t="shared" si="76"/>
        <v/>
      </c>
      <c r="BW17" s="17" t="str">
        <f t="shared" si="76"/>
        <v/>
      </c>
      <c r="BX17" s="17" t="str">
        <f t="shared" si="76"/>
        <v/>
      </c>
      <c r="BY17" s="17" t="str">
        <f t="shared" ref="BY17:DB17" si="81">IF(AND(BY$8&gt;=$H17,BY$8&lt;=$I17),"x","")</f>
        <v/>
      </c>
      <c r="BZ17" s="17" t="str">
        <f t="shared" si="81"/>
        <v/>
      </c>
      <c r="CA17" s="17" t="str">
        <f t="shared" si="81"/>
        <v/>
      </c>
      <c r="CB17" s="17" t="str">
        <f t="shared" si="81"/>
        <v/>
      </c>
      <c r="CC17" s="17" t="str">
        <f t="shared" si="81"/>
        <v/>
      </c>
      <c r="CD17" s="17" t="str">
        <f t="shared" si="81"/>
        <v/>
      </c>
      <c r="CE17" s="17" t="str">
        <f t="shared" si="81"/>
        <v/>
      </c>
      <c r="CF17" s="17" t="str">
        <f t="shared" si="81"/>
        <v/>
      </c>
      <c r="CG17" s="17" t="str">
        <f t="shared" si="81"/>
        <v/>
      </c>
      <c r="CH17" s="17" t="str">
        <f t="shared" si="81"/>
        <v/>
      </c>
      <c r="CI17" s="17" t="str">
        <f t="shared" si="81"/>
        <v/>
      </c>
      <c r="CJ17" s="17" t="str">
        <f t="shared" si="81"/>
        <v/>
      </c>
      <c r="CK17" s="17" t="str">
        <f t="shared" si="81"/>
        <v/>
      </c>
      <c r="CL17" s="17" t="str">
        <f t="shared" si="81"/>
        <v/>
      </c>
      <c r="CM17" s="17" t="str">
        <f t="shared" si="81"/>
        <v/>
      </c>
      <c r="CN17" s="17" t="str">
        <f t="shared" si="81"/>
        <v/>
      </c>
      <c r="CO17" s="17" t="str">
        <f t="shared" si="81"/>
        <v/>
      </c>
      <c r="CP17" s="17" t="str">
        <f t="shared" si="81"/>
        <v/>
      </c>
      <c r="CQ17" s="17" t="str">
        <f t="shared" si="81"/>
        <v/>
      </c>
      <c r="CR17" s="17" t="str">
        <f t="shared" si="81"/>
        <v/>
      </c>
      <c r="CS17" s="17" t="str">
        <f t="shared" si="81"/>
        <v/>
      </c>
      <c r="CT17" s="17" t="str">
        <f t="shared" si="81"/>
        <v/>
      </c>
      <c r="CU17" s="17" t="str">
        <f t="shared" si="81"/>
        <v/>
      </c>
      <c r="CV17" s="17" t="str">
        <f t="shared" si="81"/>
        <v/>
      </c>
      <c r="CW17" s="17" t="str">
        <f t="shared" si="81"/>
        <v/>
      </c>
      <c r="CX17" s="17" t="str">
        <f t="shared" si="81"/>
        <v/>
      </c>
      <c r="CY17" s="17" t="str">
        <f t="shared" si="81"/>
        <v/>
      </c>
      <c r="CZ17" s="17" t="str">
        <f t="shared" si="81"/>
        <v/>
      </c>
      <c r="DA17" s="17" t="str">
        <f t="shared" si="81"/>
        <v/>
      </c>
      <c r="DB17" s="17" t="str">
        <f t="shared" si="81"/>
        <v/>
      </c>
      <c r="DC17" s="17" t="str">
        <f t="shared" si="77"/>
        <v/>
      </c>
      <c r="DE17" s="23">
        <f t="shared" si="78"/>
        <v>0</v>
      </c>
      <c r="DF17" s="23">
        <f t="shared" si="79"/>
        <v>0</v>
      </c>
    </row>
    <row r="18" spans="2:110" ht="15.75" x14ac:dyDescent="0.25">
      <c r="B18" s="28">
        <v>10</v>
      </c>
      <c r="C18" s="56" t="s">
        <v>78</v>
      </c>
      <c r="D18" s="31">
        <v>2</v>
      </c>
      <c r="E18" s="32">
        <v>5</v>
      </c>
      <c r="F18" s="31" t="s">
        <v>60</v>
      </c>
      <c r="G18" s="33">
        <v>1</v>
      </c>
      <c r="H18" s="29">
        <f t="shared" si="73"/>
        <v>45970</v>
      </c>
      <c r="I18" s="29">
        <f t="shared" si="74"/>
        <v>45971</v>
      </c>
      <c r="J18" s="58" t="s">
        <v>127</v>
      </c>
      <c r="K18" s="31" t="s">
        <v>9</v>
      </c>
      <c r="L18" s="34"/>
      <c r="M18" s="30" t="str">
        <f t="shared" si="70"/>
        <v/>
      </c>
      <c r="O18" s="16" t="str">
        <f t="shared" si="71"/>
        <v/>
      </c>
      <c r="P18" s="17" t="str">
        <f t="shared" si="75"/>
        <v/>
      </c>
      <c r="Q18" s="17" t="str">
        <f t="shared" si="75"/>
        <v/>
      </c>
      <c r="R18" s="17" t="str">
        <f t="shared" si="75"/>
        <v/>
      </c>
      <c r="S18" s="17" t="str">
        <f t="shared" si="75"/>
        <v>x</v>
      </c>
      <c r="T18" s="17" t="str">
        <f t="shared" si="75"/>
        <v>x</v>
      </c>
      <c r="U18" s="17" t="str">
        <f t="shared" si="75"/>
        <v/>
      </c>
      <c r="V18" s="17" t="str">
        <f t="shared" si="75"/>
        <v/>
      </c>
      <c r="W18" s="17" t="str">
        <f t="shared" si="75"/>
        <v/>
      </c>
      <c r="X18" s="17" t="str">
        <f t="shared" si="75"/>
        <v/>
      </c>
      <c r="Y18" s="17" t="str">
        <f t="shared" si="75"/>
        <v/>
      </c>
      <c r="Z18" s="17" t="str">
        <f t="shared" si="75"/>
        <v/>
      </c>
      <c r="AA18" s="17" t="str">
        <f t="shared" si="75"/>
        <v/>
      </c>
      <c r="AB18" s="17" t="str">
        <f t="shared" si="75"/>
        <v/>
      </c>
      <c r="AC18" s="17" t="str">
        <f t="shared" si="75"/>
        <v/>
      </c>
      <c r="AD18" s="17" t="str">
        <f t="shared" si="75"/>
        <v/>
      </c>
      <c r="AE18" s="17" t="str">
        <f t="shared" si="75"/>
        <v/>
      </c>
      <c r="AF18" s="17" t="str">
        <f t="shared" si="75"/>
        <v/>
      </c>
      <c r="AG18" s="17" t="str">
        <f t="shared" si="75"/>
        <v/>
      </c>
      <c r="AH18" s="17" t="str">
        <f t="shared" si="75"/>
        <v/>
      </c>
      <c r="AI18" s="17" t="str">
        <f t="shared" si="75"/>
        <v/>
      </c>
      <c r="AJ18" s="17" t="str">
        <f t="shared" si="75"/>
        <v/>
      </c>
      <c r="AK18" s="17" t="str">
        <f t="shared" si="75"/>
        <v/>
      </c>
      <c r="AL18" s="17" t="str">
        <f t="shared" si="75"/>
        <v/>
      </c>
      <c r="AM18" s="17" t="str">
        <f t="shared" si="75"/>
        <v/>
      </c>
      <c r="AN18" s="17" t="str">
        <f t="shared" si="75"/>
        <v/>
      </c>
      <c r="AO18" s="17" t="str">
        <f t="shared" si="75"/>
        <v/>
      </c>
      <c r="AP18" s="17" t="str">
        <f t="shared" si="75"/>
        <v/>
      </c>
      <c r="AQ18" s="17" t="str">
        <f t="shared" si="66"/>
        <v/>
      </c>
      <c r="AR18" s="17" t="str">
        <f t="shared" si="66"/>
        <v/>
      </c>
      <c r="AS18" s="17" t="str">
        <f t="shared" si="66"/>
        <v/>
      </c>
      <c r="AT18" s="17" t="str">
        <f t="shared" si="66"/>
        <v/>
      </c>
      <c r="AU18" s="17" t="str">
        <f t="shared" si="66"/>
        <v/>
      </c>
      <c r="AV18" s="17" t="str">
        <f t="shared" si="66"/>
        <v/>
      </c>
      <c r="AW18" s="17" t="str">
        <f t="shared" si="66"/>
        <v/>
      </c>
      <c r="AX18" s="17" t="str">
        <f t="shared" si="66"/>
        <v/>
      </c>
      <c r="AY18" s="17" t="str">
        <f t="shared" si="66"/>
        <v/>
      </c>
      <c r="AZ18" s="17" t="str">
        <f t="shared" si="66"/>
        <v/>
      </c>
      <c r="BA18" s="17" t="str">
        <f t="shared" si="66"/>
        <v/>
      </c>
      <c r="BB18" s="17" t="str">
        <f t="shared" si="66"/>
        <v/>
      </c>
      <c r="BC18" s="17" t="str">
        <f t="shared" si="66"/>
        <v/>
      </c>
      <c r="BD18" s="17" t="str">
        <f t="shared" si="66"/>
        <v/>
      </c>
      <c r="BE18" s="17" t="str">
        <f t="shared" si="66"/>
        <v/>
      </c>
      <c r="BF18" s="17" t="str">
        <f t="shared" si="66"/>
        <v/>
      </c>
      <c r="BG18" s="17" t="str">
        <f t="shared" si="66"/>
        <v/>
      </c>
      <c r="BH18" s="17" t="str">
        <f t="shared" si="66"/>
        <v/>
      </c>
      <c r="BI18" s="17" t="str">
        <f t="shared" si="66"/>
        <v/>
      </c>
      <c r="BJ18" s="17" t="str">
        <f t="shared" si="66"/>
        <v/>
      </c>
      <c r="BK18" s="17" t="str">
        <f t="shared" si="66"/>
        <v/>
      </c>
      <c r="BL18" s="17" t="str">
        <f t="shared" si="66"/>
        <v/>
      </c>
      <c r="BM18" s="17" t="str">
        <f t="shared" si="66"/>
        <v/>
      </c>
      <c r="BN18" s="17" t="str">
        <f t="shared" si="66"/>
        <v/>
      </c>
      <c r="BO18" s="17" t="str">
        <f t="shared" si="66"/>
        <v/>
      </c>
      <c r="BP18" s="17" t="str">
        <f t="shared" si="66"/>
        <v/>
      </c>
      <c r="BQ18" s="17" t="str">
        <f t="shared" ref="BQ18:DC25" si="82">IF(AND(BQ$8&gt;=$H18,BQ$8&lt;=$I18),"x","")</f>
        <v/>
      </c>
      <c r="BR18" s="17" t="str">
        <f t="shared" si="82"/>
        <v/>
      </c>
      <c r="BS18" s="17" t="str">
        <f t="shared" si="82"/>
        <v/>
      </c>
      <c r="BT18" s="17" t="str">
        <f t="shared" si="82"/>
        <v/>
      </c>
      <c r="BU18" s="17" t="str">
        <f t="shared" si="82"/>
        <v/>
      </c>
      <c r="BV18" s="17" t="str">
        <f t="shared" si="82"/>
        <v/>
      </c>
      <c r="BW18" s="17" t="str">
        <f t="shared" si="82"/>
        <v/>
      </c>
      <c r="BX18" s="17" t="str">
        <f t="shared" si="82"/>
        <v/>
      </c>
      <c r="BY18" s="17" t="str">
        <f t="shared" si="82"/>
        <v/>
      </c>
      <c r="BZ18" s="17" t="str">
        <f t="shared" si="82"/>
        <v/>
      </c>
      <c r="CA18" s="17" t="str">
        <f t="shared" si="82"/>
        <v/>
      </c>
      <c r="CB18" s="17" t="str">
        <f t="shared" si="82"/>
        <v/>
      </c>
      <c r="CC18" s="17" t="str">
        <f t="shared" si="82"/>
        <v/>
      </c>
      <c r="CD18" s="17" t="str">
        <f t="shared" si="82"/>
        <v/>
      </c>
      <c r="CE18" s="17" t="str">
        <f t="shared" si="82"/>
        <v/>
      </c>
      <c r="CF18" s="17" t="str">
        <f t="shared" si="82"/>
        <v/>
      </c>
      <c r="CG18" s="17" t="str">
        <f t="shared" si="82"/>
        <v/>
      </c>
      <c r="CH18" s="17" t="str">
        <f t="shared" si="82"/>
        <v/>
      </c>
      <c r="CI18" s="17" t="str">
        <f t="shared" si="82"/>
        <v/>
      </c>
      <c r="CJ18" s="17" t="str">
        <f t="shared" si="82"/>
        <v/>
      </c>
      <c r="CK18" s="17" t="str">
        <f t="shared" si="82"/>
        <v/>
      </c>
      <c r="CL18" s="17" t="str">
        <f t="shared" si="82"/>
        <v/>
      </c>
      <c r="CM18" s="17" t="str">
        <f t="shared" si="82"/>
        <v/>
      </c>
      <c r="CN18" s="17" t="str">
        <f t="shared" si="82"/>
        <v/>
      </c>
      <c r="CO18" s="17" t="str">
        <f t="shared" si="82"/>
        <v/>
      </c>
      <c r="CP18" s="17" t="str">
        <f t="shared" si="82"/>
        <v/>
      </c>
      <c r="CQ18" s="17" t="str">
        <f t="shared" si="82"/>
        <v/>
      </c>
      <c r="CR18" s="17" t="str">
        <f t="shared" si="82"/>
        <v/>
      </c>
      <c r="CS18" s="17" t="str">
        <f t="shared" si="82"/>
        <v/>
      </c>
      <c r="CT18" s="17" t="str">
        <f t="shared" si="82"/>
        <v/>
      </c>
      <c r="CU18" s="17" t="str">
        <f t="shared" si="82"/>
        <v/>
      </c>
      <c r="CV18" s="17" t="str">
        <f t="shared" si="82"/>
        <v/>
      </c>
      <c r="CW18" s="17" t="str">
        <f t="shared" si="82"/>
        <v/>
      </c>
      <c r="CX18" s="17" t="str">
        <f t="shared" si="82"/>
        <v/>
      </c>
      <c r="CY18" s="17" t="str">
        <f t="shared" si="82"/>
        <v/>
      </c>
      <c r="CZ18" s="17" t="str">
        <f t="shared" si="82"/>
        <v/>
      </c>
      <c r="DA18" s="17" t="str">
        <f t="shared" si="82"/>
        <v/>
      </c>
      <c r="DB18" s="17" t="str">
        <f t="shared" si="82"/>
        <v/>
      </c>
      <c r="DC18" s="17" t="str">
        <f t="shared" si="82"/>
        <v/>
      </c>
      <c r="DE18" s="23">
        <f t="shared" si="68"/>
        <v>0</v>
      </c>
      <c r="DF18" s="23">
        <f t="shared" si="69"/>
        <v>0</v>
      </c>
    </row>
    <row r="19" spans="2:110" ht="15.75" x14ac:dyDescent="0.25">
      <c r="B19" s="28">
        <f t="shared" si="72"/>
        <v>11</v>
      </c>
      <c r="C19" s="55" t="s">
        <v>93</v>
      </c>
      <c r="D19" s="31">
        <v>1</v>
      </c>
      <c r="E19" s="32">
        <v>10</v>
      </c>
      <c r="F19" s="31" t="s">
        <v>71</v>
      </c>
      <c r="G19" s="33">
        <v>0</v>
      </c>
      <c r="H19" s="29">
        <f t="shared" si="73"/>
        <v>45970</v>
      </c>
      <c r="I19" s="29">
        <f t="shared" si="74"/>
        <v>45970</v>
      </c>
      <c r="J19" s="58" t="s">
        <v>127</v>
      </c>
      <c r="K19" s="31" t="s">
        <v>9</v>
      </c>
      <c r="L19" s="34"/>
      <c r="M19" s="30" t="str">
        <f t="shared" si="70"/>
        <v/>
      </c>
      <c r="O19" s="16" t="str">
        <f t="shared" si="71"/>
        <v/>
      </c>
      <c r="P19" s="17" t="str">
        <f t="shared" si="71"/>
        <v/>
      </c>
      <c r="Q19" s="17" t="str">
        <f t="shared" si="71"/>
        <v/>
      </c>
      <c r="R19" s="17" t="str">
        <f t="shared" si="71"/>
        <v/>
      </c>
      <c r="S19" s="17" t="str">
        <f t="shared" si="71"/>
        <v>x</v>
      </c>
      <c r="T19" s="17" t="str">
        <f t="shared" si="71"/>
        <v/>
      </c>
      <c r="U19" s="17" t="str">
        <f t="shared" si="71"/>
        <v/>
      </c>
      <c r="V19" s="17" t="str">
        <f t="shared" si="71"/>
        <v/>
      </c>
      <c r="W19" s="17" t="str">
        <f t="shared" si="71"/>
        <v/>
      </c>
      <c r="X19" s="17" t="str">
        <f t="shared" si="71"/>
        <v/>
      </c>
      <c r="Y19" s="17" t="str">
        <f t="shared" si="71"/>
        <v/>
      </c>
      <c r="Z19" s="17" t="str">
        <f t="shared" si="71"/>
        <v/>
      </c>
      <c r="AA19" s="17" t="str">
        <f t="shared" si="71"/>
        <v/>
      </c>
      <c r="AB19" s="17" t="str">
        <f t="shared" si="71"/>
        <v/>
      </c>
      <c r="AC19" s="17" t="str">
        <f t="shared" si="71"/>
        <v/>
      </c>
      <c r="AD19" s="17" t="str">
        <f t="shared" si="71"/>
        <v/>
      </c>
      <c r="AE19" s="17" t="str">
        <f t="shared" ref="AE19:AT34" si="83">IF(AND(AE$8&gt;=$H19,AE$8&lt;=$I19),"x","")</f>
        <v/>
      </c>
      <c r="AF19" s="17" t="str">
        <f t="shared" si="83"/>
        <v/>
      </c>
      <c r="AG19" s="17" t="str">
        <f t="shared" si="83"/>
        <v/>
      </c>
      <c r="AH19" s="17" t="str">
        <f t="shared" si="83"/>
        <v/>
      </c>
      <c r="AI19" s="17" t="str">
        <f t="shared" si="83"/>
        <v/>
      </c>
      <c r="AJ19" s="17" t="str">
        <f t="shared" si="83"/>
        <v/>
      </c>
      <c r="AK19" s="17" t="str">
        <f t="shared" si="83"/>
        <v/>
      </c>
      <c r="AL19" s="17" t="str">
        <f t="shared" si="83"/>
        <v/>
      </c>
      <c r="AM19" s="17" t="str">
        <f t="shared" si="83"/>
        <v/>
      </c>
      <c r="AN19" s="17" t="str">
        <f t="shared" si="83"/>
        <v/>
      </c>
      <c r="AO19" s="17" t="str">
        <f t="shared" si="83"/>
        <v/>
      </c>
      <c r="AP19" s="17" t="str">
        <f t="shared" si="83"/>
        <v/>
      </c>
      <c r="AQ19" s="17" t="str">
        <f t="shared" si="83"/>
        <v/>
      </c>
      <c r="AR19" s="17" t="str">
        <f t="shared" si="83"/>
        <v/>
      </c>
      <c r="AS19" s="17" t="str">
        <f t="shared" si="83"/>
        <v/>
      </c>
      <c r="AT19" s="17" t="str">
        <f t="shared" si="83"/>
        <v/>
      </c>
      <c r="AU19" s="17" t="str">
        <f t="shared" ref="AQ19:BW26" si="84">IF(AND(AU$8&gt;=$H19,AU$8&lt;=$I19),"x","")</f>
        <v/>
      </c>
      <c r="AV19" s="17" t="str">
        <f t="shared" si="84"/>
        <v/>
      </c>
      <c r="AW19" s="17" t="str">
        <f t="shared" si="84"/>
        <v/>
      </c>
      <c r="AX19" s="17" t="str">
        <f t="shared" si="84"/>
        <v/>
      </c>
      <c r="AY19" s="17" t="str">
        <f t="shared" si="84"/>
        <v/>
      </c>
      <c r="AZ19" s="17" t="str">
        <f t="shared" si="84"/>
        <v/>
      </c>
      <c r="BA19" s="17" t="str">
        <f t="shared" si="84"/>
        <v/>
      </c>
      <c r="BB19" s="17" t="str">
        <f t="shared" si="84"/>
        <v/>
      </c>
      <c r="BC19" s="17" t="str">
        <f t="shared" si="84"/>
        <v/>
      </c>
      <c r="BD19" s="17" t="str">
        <f t="shared" si="84"/>
        <v/>
      </c>
      <c r="BE19" s="17" t="str">
        <f t="shared" si="84"/>
        <v/>
      </c>
      <c r="BF19" s="17" t="str">
        <f t="shared" si="84"/>
        <v/>
      </c>
      <c r="BG19" s="17" t="str">
        <f t="shared" si="84"/>
        <v/>
      </c>
      <c r="BH19" s="17" t="str">
        <f t="shared" si="84"/>
        <v/>
      </c>
      <c r="BI19" s="17" t="str">
        <f t="shared" si="84"/>
        <v/>
      </c>
      <c r="BJ19" s="17" t="str">
        <f t="shared" si="84"/>
        <v/>
      </c>
      <c r="BK19" s="17" t="str">
        <f t="shared" si="84"/>
        <v/>
      </c>
      <c r="BL19" s="17" t="str">
        <f t="shared" si="84"/>
        <v/>
      </c>
      <c r="BM19" s="17" t="str">
        <f t="shared" si="84"/>
        <v/>
      </c>
      <c r="BN19" s="17" t="str">
        <f t="shared" si="84"/>
        <v/>
      </c>
      <c r="BO19" s="17" t="str">
        <f t="shared" si="84"/>
        <v/>
      </c>
      <c r="BP19" s="17" t="str">
        <f t="shared" si="84"/>
        <v/>
      </c>
      <c r="BQ19" s="17" t="str">
        <f t="shared" si="84"/>
        <v/>
      </c>
      <c r="BR19" s="17" t="str">
        <f t="shared" si="84"/>
        <v/>
      </c>
      <c r="BS19" s="17" t="str">
        <f t="shared" si="84"/>
        <v/>
      </c>
      <c r="BT19" s="17" t="str">
        <f t="shared" si="84"/>
        <v/>
      </c>
      <c r="BU19" s="17" t="str">
        <f t="shared" si="84"/>
        <v/>
      </c>
      <c r="BV19" s="17" t="str">
        <f t="shared" si="84"/>
        <v/>
      </c>
      <c r="BW19" s="17" t="str">
        <f t="shared" si="84"/>
        <v/>
      </c>
      <c r="BX19" s="17" t="str">
        <f t="shared" si="82"/>
        <v/>
      </c>
      <c r="BY19" s="17" t="str">
        <f t="shared" si="82"/>
        <v/>
      </c>
      <c r="BZ19" s="17" t="str">
        <f t="shared" si="82"/>
        <v/>
      </c>
      <c r="CA19" s="17" t="str">
        <f t="shared" si="82"/>
        <v/>
      </c>
      <c r="CB19" s="17" t="str">
        <f t="shared" si="82"/>
        <v/>
      </c>
      <c r="CC19" s="17" t="str">
        <f t="shared" si="82"/>
        <v/>
      </c>
      <c r="CD19" s="17" t="str">
        <f t="shared" si="82"/>
        <v/>
      </c>
      <c r="CE19" s="17" t="str">
        <f t="shared" si="82"/>
        <v/>
      </c>
      <c r="CF19" s="17" t="str">
        <f t="shared" si="82"/>
        <v/>
      </c>
      <c r="CG19" s="17" t="str">
        <f t="shared" si="82"/>
        <v/>
      </c>
      <c r="CH19" s="17" t="str">
        <f t="shared" si="82"/>
        <v/>
      </c>
      <c r="CI19" s="17" t="str">
        <f t="shared" si="82"/>
        <v/>
      </c>
      <c r="CJ19" s="17" t="str">
        <f t="shared" si="82"/>
        <v/>
      </c>
      <c r="CK19" s="17" t="str">
        <f t="shared" si="82"/>
        <v/>
      </c>
      <c r="CL19" s="17" t="str">
        <f t="shared" si="82"/>
        <v/>
      </c>
      <c r="CM19" s="17" t="str">
        <f t="shared" si="82"/>
        <v/>
      </c>
      <c r="CN19" s="17" t="str">
        <f t="shared" si="82"/>
        <v/>
      </c>
      <c r="CO19" s="17" t="str">
        <f t="shared" si="82"/>
        <v/>
      </c>
      <c r="CP19" s="17" t="str">
        <f t="shared" si="82"/>
        <v/>
      </c>
      <c r="CQ19" s="17" t="str">
        <f t="shared" si="82"/>
        <v/>
      </c>
      <c r="CR19" s="17" t="str">
        <f t="shared" si="82"/>
        <v/>
      </c>
      <c r="CS19" s="17" t="str">
        <f t="shared" si="82"/>
        <v/>
      </c>
      <c r="CT19" s="17" t="str">
        <f t="shared" si="82"/>
        <v/>
      </c>
      <c r="CU19" s="17" t="str">
        <f t="shared" si="82"/>
        <v/>
      </c>
      <c r="CV19" s="17" t="str">
        <f t="shared" si="82"/>
        <v/>
      </c>
      <c r="CW19" s="17" t="str">
        <f t="shared" si="82"/>
        <v/>
      </c>
      <c r="CX19" s="17" t="str">
        <f t="shared" si="82"/>
        <v/>
      </c>
      <c r="CY19" s="17" t="str">
        <f t="shared" si="82"/>
        <v/>
      </c>
      <c r="CZ19" s="17" t="str">
        <f t="shared" si="82"/>
        <v/>
      </c>
      <c r="DA19" s="17" t="str">
        <f t="shared" si="82"/>
        <v/>
      </c>
      <c r="DB19" s="17" t="str">
        <f t="shared" si="82"/>
        <v/>
      </c>
      <c r="DC19" s="17" t="str">
        <f t="shared" si="82"/>
        <v/>
      </c>
      <c r="DE19" s="23">
        <f t="shared" si="68"/>
        <v>0</v>
      </c>
      <c r="DF19" s="23">
        <f t="shared" si="69"/>
        <v>0</v>
      </c>
    </row>
    <row r="20" spans="2:110" ht="15.75" customHeight="1" x14ac:dyDescent="0.25">
      <c r="B20" s="28">
        <f t="shared" si="72"/>
        <v>12</v>
      </c>
      <c r="C20" s="55" t="s">
        <v>94</v>
      </c>
      <c r="D20" s="31">
        <v>1</v>
      </c>
      <c r="E20" s="32">
        <v>11</v>
      </c>
      <c r="F20" s="31" t="s">
        <v>60</v>
      </c>
      <c r="G20" s="33">
        <v>0</v>
      </c>
      <c r="H20" s="29">
        <f t="shared" si="73"/>
        <v>45970</v>
      </c>
      <c r="I20" s="29">
        <f t="shared" si="74"/>
        <v>45970</v>
      </c>
      <c r="J20" s="58" t="s">
        <v>127</v>
      </c>
      <c r="K20" s="31" t="s">
        <v>9</v>
      </c>
      <c r="L20" s="34"/>
      <c r="M20" s="30" t="str">
        <f t="shared" si="70"/>
        <v/>
      </c>
      <c r="O20" s="16" t="str">
        <f t="shared" si="71"/>
        <v/>
      </c>
      <c r="P20" s="17" t="str">
        <f t="shared" si="71"/>
        <v/>
      </c>
      <c r="Q20" s="17" t="str">
        <f t="shared" si="71"/>
        <v/>
      </c>
      <c r="R20" s="17" t="str">
        <f t="shared" si="71"/>
        <v/>
      </c>
      <c r="S20" s="17" t="str">
        <f t="shared" si="71"/>
        <v>x</v>
      </c>
      <c r="T20" s="17" t="str">
        <f t="shared" si="71"/>
        <v/>
      </c>
      <c r="U20" s="17" t="str">
        <f t="shared" si="71"/>
        <v/>
      </c>
      <c r="V20" s="17" t="str">
        <f t="shared" si="71"/>
        <v/>
      </c>
      <c r="W20" s="17" t="str">
        <f t="shared" si="71"/>
        <v/>
      </c>
      <c r="X20" s="17" t="str">
        <f t="shared" si="71"/>
        <v/>
      </c>
      <c r="Y20" s="17" t="str">
        <f t="shared" si="71"/>
        <v/>
      </c>
      <c r="Z20" s="17" t="str">
        <f t="shared" si="71"/>
        <v/>
      </c>
      <c r="AA20" s="17" t="str">
        <f t="shared" si="71"/>
        <v/>
      </c>
      <c r="AB20" s="17" t="str">
        <f t="shared" si="71"/>
        <v/>
      </c>
      <c r="AC20" s="17" t="str">
        <f t="shared" si="71"/>
        <v/>
      </c>
      <c r="AD20" s="17" t="str">
        <f t="shared" si="71"/>
        <v/>
      </c>
      <c r="AE20" s="17" t="str">
        <f t="shared" si="83"/>
        <v/>
      </c>
      <c r="AF20" s="17" t="str">
        <f t="shared" si="83"/>
        <v/>
      </c>
      <c r="AG20" s="17" t="str">
        <f t="shared" si="83"/>
        <v/>
      </c>
      <c r="AH20" s="17" t="str">
        <f t="shared" si="83"/>
        <v/>
      </c>
      <c r="AI20" s="17" t="str">
        <f t="shared" si="83"/>
        <v/>
      </c>
      <c r="AJ20" s="17" t="str">
        <f t="shared" si="83"/>
        <v/>
      </c>
      <c r="AK20" s="17" t="str">
        <f t="shared" si="83"/>
        <v/>
      </c>
      <c r="AL20" s="17" t="str">
        <f t="shared" si="83"/>
        <v/>
      </c>
      <c r="AM20" s="17" t="str">
        <f t="shared" si="83"/>
        <v/>
      </c>
      <c r="AN20" s="17" t="str">
        <f t="shared" si="83"/>
        <v/>
      </c>
      <c r="AO20" s="17" t="str">
        <f t="shared" si="83"/>
        <v/>
      </c>
      <c r="AP20" s="17" t="str">
        <f t="shared" si="83"/>
        <v/>
      </c>
      <c r="AQ20" s="17" t="str">
        <f t="shared" si="84"/>
        <v/>
      </c>
      <c r="AR20" s="17" t="str">
        <f t="shared" si="84"/>
        <v/>
      </c>
      <c r="AS20" s="17" t="str">
        <f t="shared" si="84"/>
        <v/>
      </c>
      <c r="AT20" s="17" t="str">
        <f t="shared" si="84"/>
        <v/>
      </c>
      <c r="AU20" s="17" t="str">
        <f t="shared" si="84"/>
        <v/>
      </c>
      <c r="AV20" s="17" t="str">
        <f t="shared" si="84"/>
        <v/>
      </c>
      <c r="AW20" s="17" t="str">
        <f t="shared" si="84"/>
        <v/>
      </c>
      <c r="AX20" s="17" t="str">
        <f t="shared" si="84"/>
        <v/>
      </c>
      <c r="AY20" s="17" t="str">
        <f t="shared" si="84"/>
        <v/>
      </c>
      <c r="AZ20" s="17" t="str">
        <f t="shared" si="84"/>
        <v/>
      </c>
      <c r="BA20" s="17" t="str">
        <f t="shared" si="84"/>
        <v/>
      </c>
      <c r="BB20" s="17" t="str">
        <f t="shared" si="84"/>
        <v/>
      </c>
      <c r="BC20" s="17" t="str">
        <f t="shared" si="84"/>
        <v/>
      </c>
      <c r="BD20" s="17" t="str">
        <f t="shared" si="84"/>
        <v/>
      </c>
      <c r="BE20" s="17" t="str">
        <f t="shared" si="84"/>
        <v/>
      </c>
      <c r="BF20" s="17" t="str">
        <f t="shared" si="84"/>
        <v/>
      </c>
      <c r="BG20" s="17" t="str">
        <f t="shared" si="84"/>
        <v/>
      </c>
      <c r="BH20" s="17" t="str">
        <f t="shared" si="84"/>
        <v/>
      </c>
      <c r="BI20" s="17" t="str">
        <f t="shared" si="84"/>
        <v/>
      </c>
      <c r="BJ20" s="17" t="str">
        <f t="shared" si="84"/>
        <v/>
      </c>
      <c r="BK20" s="17" t="str">
        <f t="shared" si="84"/>
        <v/>
      </c>
      <c r="BL20" s="17" t="str">
        <f t="shared" si="84"/>
        <v/>
      </c>
      <c r="BM20" s="17" t="str">
        <f t="shared" si="84"/>
        <v/>
      </c>
      <c r="BN20" s="17" t="str">
        <f t="shared" si="84"/>
        <v/>
      </c>
      <c r="BO20" s="17" t="str">
        <f t="shared" si="84"/>
        <v/>
      </c>
      <c r="BP20" s="17" t="str">
        <f t="shared" si="84"/>
        <v/>
      </c>
      <c r="BQ20" s="17" t="str">
        <f t="shared" si="84"/>
        <v/>
      </c>
      <c r="BR20" s="17" t="str">
        <f t="shared" si="84"/>
        <v/>
      </c>
      <c r="BS20" s="17" t="str">
        <f t="shared" si="84"/>
        <v/>
      </c>
      <c r="BT20" s="17" t="str">
        <f t="shared" si="84"/>
        <v/>
      </c>
      <c r="BU20" s="17" t="str">
        <f t="shared" si="84"/>
        <v/>
      </c>
      <c r="BV20" s="17" t="str">
        <f t="shared" si="84"/>
        <v/>
      </c>
      <c r="BW20" s="17" t="str">
        <f t="shared" si="84"/>
        <v/>
      </c>
      <c r="BX20" s="17" t="str">
        <f t="shared" si="82"/>
        <v/>
      </c>
      <c r="BY20" s="17" t="str">
        <f t="shared" si="82"/>
        <v/>
      </c>
      <c r="BZ20" s="17" t="str">
        <f t="shared" si="82"/>
        <v/>
      </c>
      <c r="CA20" s="17" t="str">
        <f t="shared" si="82"/>
        <v/>
      </c>
      <c r="CB20" s="17" t="str">
        <f t="shared" si="82"/>
        <v/>
      </c>
      <c r="CC20" s="17" t="str">
        <f t="shared" si="82"/>
        <v/>
      </c>
      <c r="CD20" s="17" t="str">
        <f t="shared" si="82"/>
        <v/>
      </c>
      <c r="CE20" s="17" t="str">
        <f t="shared" si="82"/>
        <v/>
      </c>
      <c r="CF20" s="17" t="str">
        <f t="shared" si="82"/>
        <v/>
      </c>
      <c r="CG20" s="17" t="str">
        <f t="shared" si="82"/>
        <v/>
      </c>
      <c r="CH20" s="17" t="str">
        <f t="shared" si="82"/>
        <v/>
      </c>
      <c r="CI20" s="17" t="str">
        <f t="shared" si="82"/>
        <v/>
      </c>
      <c r="CJ20" s="17" t="str">
        <f t="shared" si="82"/>
        <v/>
      </c>
      <c r="CK20" s="17" t="str">
        <f t="shared" si="82"/>
        <v/>
      </c>
      <c r="CL20" s="17" t="str">
        <f t="shared" si="82"/>
        <v/>
      </c>
      <c r="CM20" s="17" t="str">
        <f t="shared" si="82"/>
        <v/>
      </c>
      <c r="CN20" s="17" t="str">
        <f t="shared" si="82"/>
        <v/>
      </c>
      <c r="CO20" s="17" t="str">
        <f t="shared" si="82"/>
        <v/>
      </c>
      <c r="CP20" s="17" t="str">
        <f t="shared" si="82"/>
        <v/>
      </c>
      <c r="CQ20" s="17" t="str">
        <f t="shared" si="82"/>
        <v/>
      </c>
      <c r="CR20" s="17" t="str">
        <f t="shared" si="82"/>
        <v/>
      </c>
      <c r="CS20" s="17" t="str">
        <f t="shared" si="82"/>
        <v/>
      </c>
      <c r="CT20" s="17" t="str">
        <f t="shared" si="82"/>
        <v/>
      </c>
      <c r="CU20" s="17" t="str">
        <f t="shared" si="82"/>
        <v/>
      </c>
      <c r="CV20" s="17" t="str">
        <f t="shared" si="82"/>
        <v/>
      </c>
      <c r="CW20" s="17" t="str">
        <f t="shared" si="82"/>
        <v/>
      </c>
      <c r="CX20" s="17" t="str">
        <f t="shared" si="82"/>
        <v/>
      </c>
      <c r="CY20" s="17" t="str">
        <f t="shared" si="82"/>
        <v/>
      </c>
      <c r="CZ20" s="17" t="str">
        <f t="shared" si="82"/>
        <v/>
      </c>
      <c r="DA20" s="17" t="str">
        <f t="shared" si="82"/>
        <v/>
      </c>
      <c r="DB20" s="17" t="str">
        <f t="shared" si="82"/>
        <v/>
      </c>
      <c r="DC20" s="17" t="str">
        <f t="shared" si="82"/>
        <v/>
      </c>
      <c r="DE20" s="23">
        <f t="shared" si="68"/>
        <v>0</v>
      </c>
      <c r="DF20" s="23">
        <f t="shared" si="69"/>
        <v>0</v>
      </c>
    </row>
    <row r="21" spans="2:110" ht="15.75" x14ac:dyDescent="0.25">
      <c r="B21" s="28">
        <f t="shared" si="72"/>
        <v>13</v>
      </c>
      <c r="C21" s="55" t="s">
        <v>95</v>
      </c>
      <c r="D21" s="31">
        <v>1</v>
      </c>
      <c r="E21" s="32">
        <v>12</v>
      </c>
      <c r="F21" s="31" t="s">
        <v>60</v>
      </c>
      <c r="G21" s="33">
        <v>1</v>
      </c>
      <c r="H21" s="29">
        <f t="shared" si="73"/>
        <v>45971</v>
      </c>
      <c r="I21" s="29">
        <f t="shared" si="74"/>
        <v>45971</v>
      </c>
      <c r="J21" s="58" t="s">
        <v>127</v>
      </c>
      <c r="K21" s="31" t="s">
        <v>9</v>
      </c>
      <c r="L21" s="34"/>
      <c r="M21" s="30" t="str">
        <f t="shared" si="70"/>
        <v/>
      </c>
      <c r="O21" s="16" t="str">
        <f t="shared" si="71"/>
        <v/>
      </c>
      <c r="P21" s="17" t="str">
        <f t="shared" si="71"/>
        <v/>
      </c>
      <c r="Q21" s="17" t="str">
        <f t="shared" si="71"/>
        <v/>
      </c>
      <c r="R21" s="17" t="str">
        <f t="shared" si="71"/>
        <v/>
      </c>
      <c r="S21" s="17" t="str">
        <f t="shared" si="71"/>
        <v/>
      </c>
      <c r="T21" s="17" t="str">
        <f t="shared" si="71"/>
        <v>x</v>
      </c>
      <c r="U21" s="17" t="str">
        <f t="shared" si="71"/>
        <v/>
      </c>
      <c r="V21" s="17" t="str">
        <f t="shared" si="71"/>
        <v/>
      </c>
      <c r="W21" s="17" t="str">
        <f t="shared" si="71"/>
        <v/>
      </c>
      <c r="X21" s="17" t="str">
        <f t="shared" si="71"/>
        <v/>
      </c>
      <c r="Y21" s="17" t="str">
        <f t="shared" si="71"/>
        <v/>
      </c>
      <c r="Z21" s="17" t="str">
        <f t="shared" si="71"/>
        <v/>
      </c>
      <c r="AA21" s="17" t="str">
        <f t="shared" si="71"/>
        <v/>
      </c>
      <c r="AB21" s="17" t="str">
        <f t="shared" si="71"/>
        <v/>
      </c>
      <c r="AC21" s="17" t="str">
        <f t="shared" si="71"/>
        <v/>
      </c>
      <c r="AD21" s="17" t="str">
        <f t="shared" si="71"/>
        <v/>
      </c>
      <c r="AE21" s="17" t="str">
        <f t="shared" si="83"/>
        <v/>
      </c>
      <c r="AF21" s="17" t="str">
        <f t="shared" si="83"/>
        <v/>
      </c>
      <c r="AG21" s="17" t="str">
        <f t="shared" si="83"/>
        <v/>
      </c>
      <c r="AH21" s="17" t="str">
        <f t="shared" si="83"/>
        <v/>
      </c>
      <c r="AI21" s="17" t="str">
        <f t="shared" si="83"/>
        <v/>
      </c>
      <c r="AJ21" s="17" t="str">
        <f t="shared" si="83"/>
        <v/>
      </c>
      <c r="AK21" s="17" t="str">
        <f t="shared" si="83"/>
        <v/>
      </c>
      <c r="AL21" s="17" t="str">
        <f t="shared" si="83"/>
        <v/>
      </c>
      <c r="AM21" s="17" t="str">
        <f t="shared" si="83"/>
        <v/>
      </c>
      <c r="AN21" s="17" t="str">
        <f t="shared" si="83"/>
        <v/>
      </c>
      <c r="AO21" s="17" t="str">
        <f t="shared" si="83"/>
        <v/>
      </c>
      <c r="AP21" s="17" t="str">
        <f t="shared" si="83"/>
        <v/>
      </c>
      <c r="AQ21" s="17" t="str">
        <f t="shared" si="84"/>
        <v/>
      </c>
      <c r="AR21" s="17" t="str">
        <f t="shared" si="84"/>
        <v/>
      </c>
      <c r="AS21" s="17" t="str">
        <f t="shared" si="84"/>
        <v/>
      </c>
      <c r="AT21" s="17" t="str">
        <f t="shared" si="84"/>
        <v/>
      </c>
      <c r="AU21" s="17" t="str">
        <f t="shared" si="84"/>
        <v/>
      </c>
      <c r="AV21" s="17" t="str">
        <f t="shared" si="84"/>
        <v/>
      </c>
      <c r="AW21" s="17" t="str">
        <f t="shared" si="84"/>
        <v/>
      </c>
      <c r="AX21" s="17" t="str">
        <f t="shared" si="84"/>
        <v/>
      </c>
      <c r="AY21" s="17" t="str">
        <f t="shared" si="84"/>
        <v/>
      </c>
      <c r="AZ21" s="17" t="str">
        <f t="shared" si="84"/>
        <v/>
      </c>
      <c r="BA21" s="17" t="str">
        <f t="shared" si="84"/>
        <v/>
      </c>
      <c r="BB21" s="17" t="str">
        <f t="shared" si="84"/>
        <v/>
      </c>
      <c r="BC21" s="17" t="str">
        <f t="shared" si="84"/>
        <v/>
      </c>
      <c r="BD21" s="17" t="str">
        <f t="shared" si="84"/>
        <v/>
      </c>
      <c r="BE21" s="17" t="str">
        <f t="shared" si="84"/>
        <v/>
      </c>
      <c r="BF21" s="17" t="str">
        <f t="shared" si="84"/>
        <v/>
      </c>
      <c r="BG21" s="17" t="str">
        <f t="shared" si="84"/>
        <v/>
      </c>
      <c r="BH21" s="17" t="str">
        <f t="shared" si="84"/>
        <v/>
      </c>
      <c r="BI21" s="17" t="str">
        <f t="shared" si="84"/>
        <v/>
      </c>
      <c r="BJ21" s="17" t="str">
        <f t="shared" si="84"/>
        <v/>
      </c>
      <c r="BK21" s="17" t="str">
        <f t="shared" si="84"/>
        <v/>
      </c>
      <c r="BL21" s="17" t="str">
        <f t="shared" si="84"/>
        <v/>
      </c>
      <c r="BM21" s="17" t="str">
        <f t="shared" si="84"/>
        <v/>
      </c>
      <c r="BN21" s="17" t="str">
        <f t="shared" si="84"/>
        <v/>
      </c>
      <c r="BO21" s="17" t="str">
        <f t="shared" si="84"/>
        <v/>
      </c>
      <c r="BP21" s="17" t="str">
        <f t="shared" si="84"/>
        <v/>
      </c>
      <c r="BQ21" s="17" t="str">
        <f t="shared" si="84"/>
        <v/>
      </c>
      <c r="BR21" s="17" t="str">
        <f t="shared" si="84"/>
        <v/>
      </c>
      <c r="BS21" s="17" t="str">
        <f t="shared" si="84"/>
        <v/>
      </c>
      <c r="BT21" s="17" t="str">
        <f t="shared" si="84"/>
        <v/>
      </c>
      <c r="BU21" s="17" t="str">
        <f t="shared" si="84"/>
        <v/>
      </c>
      <c r="BV21" s="17" t="str">
        <f t="shared" si="84"/>
        <v/>
      </c>
      <c r="BW21" s="17" t="str">
        <f t="shared" si="84"/>
        <v/>
      </c>
      <c r="BX21" s="17" t="str">
        <f t="shared" si="82"/>
        <v/>
      </c>
      <c r="BY21" s="17" t="str">
        <f t="shared" si="82"/>
        <v/>
      </c>
      <c r="BZ21" s="17" t="str">
        <f t="shared" si="82"/>
        <v/>
      </c>
      <c r="CA21" s="17" t="str">
        <f t="shared" si="82"/>
        <v/>
      </c>
      <c r="CB21" s="17" t="str">
        <f t="shared" si="82"/>
        <v/>
      </c>
      <c r="CC21" s="17" t="str">
        <f t="shared" si="82"/>
        <v/>
      </c>
      <c r="CD21" s="17" t="str">
        <f t="shared" si="82"/>
        <v/>
      </c>
      <c r="CE21" s="17" t="str">
        <f t="shared" si="82"/>
        <v/>
      </c>
      <c r="CF21" s="17" t="str">
        <f t="shared" si="82"/>
        <v/>
      </c>
      <c r="CG21" s="17" t="str">
        <f t="shared" si="82"/>
        <v/>
      </c>
      <c r="CH21" s="17" t="str">
        <f t="shared" si="82"/>
        <v/>
      </c>
      <c r="CI21" s="17" t="str">
        <f t="shared" si="82"/>
        <v/>
      </c>
      <c r="CJ21" s="17" t="str">
        <f t="shared" si="82"/>
        <v/>
      </c>
      <c r="CK21" s="17" t="str">
        <f t="shared" si="82"/>
        <v/>
      </c>
      <c r="CL21" s="17" t="str">
        <f t="shared" si="82"/>
        <v/>
      </c>
      <c r="CM21" s="17" t="str">
        <f t="shared" si="82"/>
        <v/>
      </c>
      <c r="CN21" s="17" t="str">
        <f t="shared" si="82"/>
        <v/>
      </c>
      <c r="CO21" s="17" t="str">
        <f t="shared" si="82"/>
        <v/>
      </c>
      <c r="CP21" s="17" t="str">
        <f t="shared" si="82"/>
        <v/>
      </c>
      <c r="CQ21" s="17" t="str">
        <f t="shared" si="82"/>
        <v/>
      </c>
      <c r="CR21" s="17" t="str">
        <f t="shared" si="82"/>
        <v/>
      </c>
      <c r="CS21" s="17" t="str">
        <f t="shared" si="82"/>
        <v/>
      </c>
      <c r="CT21" s="17" t="str">
        <f t="shared" si="82"/>
        <v/>
      </c>
      <c r="CU21" s="17" t="str">
        <f t="shared" si="82"/>
        <v/>
      </c>
      <c r="CV21" s="17" t="str">
        <f t="shared" si="82"/>
        <v/>
      </c>
      <c r="CW21" s="17" t="str">
        <f t="shared" si="82"/>
        <v/>
      </c>
      <c r="CX21" s="17" t="str">
        <f t="shared" si="82"/>
        <v/>
      </c>
      <c r="CY21" s="17" t="str">
        <f t="shared" si="82"/>
        <v/>
      </c>
      <c r="CZ21" s="17" t="str">
        <f t="shared" si="82"/>
        <v/>
      </c>
      <c r="DA21" s="17" t="str">
        <f t="shared" si="82"/>
        <v/>
      </c>
      <c r="DB21" s="17" t="str">
        <f t="shared" si="82"/>
        <v/>
      </c>
      <c r="DC21" s="17" t="str">
        <f t="shared" si="82"/>
        <v/>
      </c>
      <c r="DE21" s="23">
        <f t="shared" si="68"/>
        <v>0</v>
      </c>
      <c r="DF21" s="23">
        <f t="shared" si="69"/>
        <v>0</v>
      </c>
    </row>
    <row r="22" spans="2:110" ht="15.75" x14ac:dyDescent="0.25">
      <c r="B22" s="28">
        <f t="shared" si="72"/>
        <v>14</v>
      </c>
      <c r="C22" s="55" t="s">
        <v>96</v>
      </c>
      <c r="D22" s="31">
        <v>1</v>
      </c>
      <c r="E22" s="32">
        <v>13</v>
      </c>
      <c r="F22" s="31" t="s">
        <v>60</v>
      </c>
      <c r="G22" s="33">
        <v>0</v>
      </c>
      <c r="H22" s="29">
        <f t="shared" si="73"/>
        <v>45971</v>
      </c>
      <c r="I22" s="29">
        <f t="shared" si="74"/>
        <v>45971</v>
      </c>
      <c r="J22" s="58" t="s">
        <v>127</v>
      </c>
      <c r="K22" s="31" t="s">
        <v>9</v>
      </c>
      <c r="L22" s="34"/>
      <c r="M22" s="30" t="str">
        <f t="shared" si="70"/>
        <v/>
      </c>
      <c r="O22" s="16" t="str">
        <f t="shared" si="71"/>
        <v/>
      </c>
      <c r="P22" s="17" t="str">
        <f t="shared" si="71"/>
        <v/>
      </c>
      <c r="Q22" s="17" t="str">
        <f t="shared" si="71"/>
        <v/>
      </c>
      <c r="R22" s="17" t="str">
        <f t="shared" si="71"/>
        <v/>
      </c>
      <c r="S22" s="17" t="str">
        <f t="shared" si="71"/>
        <v/>
      </c>
      <c r="T22" s="17" t="str">
        <f t="shared" si="71"/>
        <v>x</v>
      </c>
      <c r="U22" s="17" t="str">
        <f t="shared" si="71"/>
        <v/>
      </c>
      <c r="V22" s="17" t="str">
        <f t="shared" si="71"/>
        <v/>
      </c>
      <c r="W22" s="17" t="str">
        <f t="shared" si="71"/>
        <v/>
      </c>
      <c r="X22" s="17" t="str">
        <f t="shared" si="71"/>
        <v/>
      </c>
      <c r="Y22" s="17" t="str">
        <f t="shared" si="71"/>
        <v/>
      </c>
      <c r="Z22" s="17" t="str">
        <f t="shared" si="71"/>
        <v/>
      </c>
      <c r="AA22" s="17" t="str">
        <f t="shared" si="71"/>
        <v/>
      </c>
      <c r="AB22" s="17" t="str">
        <f t="shared" si="71"/>
        <v/>
      </c>
      <c r="AC22" s="17" t="str">
        <f t="shared" si="71"/>
        <v/>
      </c>
      <c r="AD22" s="17" t="str">
        <f t="shared" si="71"/>
        <v/>
      </c>
      <c r="AE22" s="17" t="str">
        <f t="shared" si="83"/>
        <v/>
      </c>
      <c r="AF22" s="17" t="str">
        <f t="shared" si="83"/>
        <v/>
      </c>
      <c r="AG22" s="17" t="str">
        <f t="shared" si="83"/>
        <v/>
      </c>
      <c r="AH22" s="17" t="str">
        <f t="shared" si="83"/>
        <v/>
      </c>
      <c r="AI22" s="17" t="str">
        <f t="shared" si="83"/>
        <v/>
      </c>
      <c r="AJ22" s="17" t="str">
        <f t="shared" si="83"/>
        <v/>
      </c>
      <c r="AK22" s="17" t="str">
        <f t="shared" si="83"/>
        <v/>
      </c>
      <c r="AL22" s="17" t="str">
        <f t="shared" si="83"/>
        <v/>
      </c>
      <c r="AM22" s="17" t="str">
        <f t="shared" si="83"/>
        <v/>
      </c>
      <c r="AN22" s="17" t="str">
        <f t="shared" si="83"/>
        <v/>
      </c>
      <c r="AO22" s="17" t="str">
        <f t="shared" si="83"/>
        <v/>
      </c>
      <c r="AP22" s="17" t="str">
        <f t="shared" si="83"/>
        <v/>
      </c>
      <c r="AQ22" s="17" t="str">
        <f t="shared" si="84"/>
        <v/>
      </c>
      <c r="AR22" s="17" t="str">
        <f t="shared" si="84"/>
        <v/>
      </c>
      <c r="AS22" s="17" t="str">
        <f t="shared" si="84"/>
        <v/>
      </c>
      <c r="AT22" s="17" t="str">
        <f t="shared" si="84"/>
        <v/>
      </c>
      <c r="AU22" s="17" t="str">
        <f t="shared" si="84"/>
        <v/>
      </c>
      <c r="AV22" s="17" t="str">
        <f t="shared" si="84"/>
        <v/>
      </c>
      <c r="AW22" s="17" t="str">
        <f t="shared" si="84"/>
        <v/>
      </c>
      <c r="AX22" s="17" t="str">
        <f t="shared" si="84"/>
        <v/>
      </c>
      <c r="AY22" s="17" t="str">
        <f t="shared" si="84"/>
        <v/>
      </c>
      <c r="AZ22" s="17" t="str">
        <f t="shared" si="84"/>
        <v/>
      </c>
      <c r="BA22" s="17" t="str">
        <f t="shared" si="84"/>
        <v/>
      </c>
      <c r="BB22" s="17" t="str">
        <f t="shared" si="84"/>
        <v/>
      </c>
      <c r="BC22" s="17" t="str">
        <f t="shared" si="84"/>
        <v/>
      </c>
      <c r="BD22" s="17" t="str">
        <f t="shared" si="84"/>
        <v/>
      </c>
      <c r="BE22" s="17" t="str">
        <f t="shared" si="84"/>
        <v/>
      </c>
      <c r="BF22" s="17" t="str">
        <f t="shared" si="84"/>
        <v/>
      </c>
      <c r="BG22" s="17" t="str">
        <f t="shared" si="84"/>
        <v/>
      </c>
      <c r="BH22" s="17" t="str">
        <f t="shared" si="84"/>
        <v/>
      </c>
      <c r="BI22" s="17" t="str">
        <f t="shared" si="84"/>
        <v/>
      </c>
      <c r="BJ22" s="17" t="str">
        <f t="shared" si="84"/>
        <v/>
      </c>
      <c r="BK22" s="17" t="str">
        <f t="shared" si="84"/>
        <v/>
      </c>
      <c r="BL22" s="17" t="str">
        <f t="shared" si="84"/>
        <v/>
      </c>
      <c r="BM22" s="17" t="str">
        <f t="shared" si="84"/>
        <v/>
      </c>
      <c r="BN22" s="17" t="str">
        <f t="shared" si="84"/>
        <v/>
      </c>
      <c r="BO22" s="17" t="str">
        <f t="shared" si="84"/>
        <v/>
      </c>
      <c r="BP22" s="17" t="str">
        <f t="shared" si="84"/>
        <v/>
      </c>
      <c r="BQ22" s="17" t="str">
        <f t="shared" si="84"/>
        <v/>
      </c>
      <c r="BR22" s="17" t="str">
        <f t="shared" si="84"/>
        <v/>
      </c>
      <c r="BS22" s="17" t="str">
        <f t="shared" si="84"/>
        <v/>
      </c>
      <c r="BT22" s="17" t="str">
        <f t="shared" si="84"/>
        <v/>
      </c>
      <c r="BU22" s="17" t="str">
        <f t="shared" si="84"/>
        <v/>
      </c>
      <c r="BV22" s="17" t="str">
        <f t="shared" si="84"/>
        <v/>
      </c>
      <c r="BW22" s="17" t="str">
        <f t="shared" si="84"/>
        <v/>
      </c>
      <c r="BX22" s="17" t="str">
        <f t="shared" si="82"/>
        <v/>
      </c>
      <c r="BY22" s="17" t="str">
        <f t="shared" si="82"/>
        <v/>
      </c>
      <c r="BZ22" s="17" t="str">
        <f t="shared" si="82"/>
        <v/>
      </c>
      <c r="CA22" s="17" t="str">
        <f t="shared" si="82"/>
        <v/>
      </c>
      <c r="CB22" s="17" t="str">
        <f t="shared" si="82"/>
        <v/>
      </c>
      <c r="CC22" s="17" t="str">
        <f t="shared" si="82"/>
        <v/>
      </c>
      <c r="CD22" s="17" t="str">
        <f t="shared" si="82"/>
        <v/>
      </c>
      <c r="CE22" s="17" t="str">
        <f t="shared" si="82"/>
        <v/>
      </c>
      <c r="CF22" s="17" t="str">
        <f t="shared" si="82"/>
        <v/>
      </c>
      <c r="CG22" s="17" t="str">
        <f t="shared" si="82"/>
        <v/>
      </c>
      <c r="CH22" s="17" t="str">
        <f t="shared" si="82"/>
        <v/>
      </c>
      <c r="CI22" s="17" t="str">
        <f t="shared" si="82"/>
        <v/>
      </c>
      <c r="CJ22" s="17" t="str">
        <f t="shared" si="82"/>
        <v/>
      </c>
      <c r="CK22" s="17" t="str">
        <f t="shared" si="82"/>
        <v/>
      </c>
      <c r="CL22" s="17" t="str">
        <f t="shared" si="82"/>
        <v/>
      </c>
      <c r="CM22" s="17" t="str">
        <f t="shared" si="82"/>
        <v/>
      </c>
      <c r="CN22" s="17" t="str">
        <f t="shared" si="82"/>
        <v/>
      </c>
      <c r="CO22" s="17" t="str">
        <f t="shared" si="82"/>
        <v/>
      </c>
      <c r="CP22" s="17" t="str">
        <f t="shared" si="82"/>
        <v/>
      </c>
      <c r="CQ22" s="17" t="str">
        <f t="shared" si="82"/>
        <v/>
      </c>
      <c r="CR22" s="17" t="str">
        <f t="shared" si="82"/>
        <v/>
      </c>
      <c r="CS22" s="17" t="str">
        <f t="shared" si="82"/>
        <v/>
      </c>
      <c r="CT22" s="17" t="str">
        <f t="shared" si="82"/>
        <v/>
      </c>
      <c r="CU22" s="17" t="str">
        <f t="shared" si="82"/>
        <v/>
      </c>
      <c r="CV22" s="17" t="str">
        <f t="shared" si="82"/>
        <v/>
      </c>
      <c r="CW22" s="17" t="str">
        <f t="shared" si="82"/>
        <v/>
      </c>
      <c r="CX22" s="17" t="str">
        <f t="shared" si="82"/>
        <v/>
      </c>
      <c r="CY22" s="17" t="str">
        <f t="shared" si="82"/>
        <v/>
      </c>
      <c r="CZ22" s="17" t="str">
        <f t="shared" si="82"/>
        <v/>
      </c>
      <c r="DA22" s="17" t="str">
        <f t="shared" si="82"/>
        <v/>
      </c>
      <c r="DB22" s="17" t="str">
        <f t="shared" si="82"/>
        <v/>
      </c>
      <c r="DC22" s="17" t="str">
        <f t="shared" si="82"/>
        <v/>
      </c>
      <c r="DE22" s="23">
        <f t="shared" si="68"/>
        <v>0</v>
      </c>
      <c r="DF22" s="23">
        <f t="shared" si="69"/>
        <v>0</v>
      </c>
    </row>
    <row r="23" spans="2:110" ht="15.75" x14ac:dyDescent="0.25">
      <c r="B23" s="28">
        <f t="shared" si="72"/>
        <v>15</v>
      </c>
      <c r="C23" s="56" t="s">
        <v>79</v>
      </c>
      <c r="D23" s="31">
        <v>4</v>
      </c>
      <c r="E23" s="32">
        <v>10</v>
      </c>
      <c r="F23" s="31" t="s">
        <v>60</v>
      </c>
      <c r="G23" s="33">
        <v>1</v>
      </c>
      <c r="H23" s="29">
        <f t="shared" si="73"/>
        <v>45972</v>
      </c>
      <c r="I23" s="29">
        <f t="shared" si="74"/>
        <v>45975</v>
      </c>
      <c r="J23" s="58" t="s">
        <v>127</v>
      </c>
      <c r="K23" s="31" t="s">
        <v>9</v>
      </c>
      <c r="L23" s="34"/>
      <c r="M23" s="30" t="str">
        <f t="shared" si="70"/>
        <v/>
      </c>
      <c r="O23" s="16" t="str">
        <f t="shared" si="71"/>
        <v/>
      </c>
      <c r="P23" s="17" t="str">
        <f t="shared" si="71"/>
        <v/>
      </c>
      <c r="Q23" s="17" t="str">
        <f t="shared" si="71"/>
        <v/>
      </c>
      <c r="R23" s="17" t="str">
        <f t="shared" si="71"/>
        <v/>
      </c>
      <c r="S23" s="17" t="str">
        <f t="shared" si="71"/>
        <v/>
      </c>
      <c r="T23" s="17" t="str">
        <f t="shared" si="71"/>
        <v/>
      </c>
      <c r="U23" s="17" t="str">
        <f t="shared" si="71"/>
        <v>x</v>
      </c>
      <c r="V23" s="17" t="str">
        <f t="shared" si="71"/>
        <v>x</v>
      </c>
      <c r="W23" s="17" t="str">
        <f t="shared" si="71"/>
        <v>x</v>
      </c>
      <c r="X23" s="17" t="str">
        <f t="shared" si="71"/>
        <v>x</v>
      </c>
      <c r="Y23" s="17" t="str">
        <f t="shared" si="71"/>
        <v/>
      </c>
      <c r="Z23" s="17" t="str">
        <f t="shared" si="71"/>
        <v/>
      </c>
      <c r="AA23" s="17" t="str">
        <f t="shared" si="71"/>
        <v/>
      </c>
      <c r="AB23" s="17" t="str">
        <f t="shared" si="71"/>
        <v/>
      </c>
      <c r="AC23" s="17" t="str">
        <f t="shared" si="71"/>
        <v/>
      </c>
      <c r="AD23" s="17" t="str">
        <f t="shared" si="71"/>
        <v/>
      </c>
      <c r="AE23" s="17" t="str">
        <f t="shared" si="83"/>
        <v/>
      </c>
      <c r="AF23" s="17" t="str">
        <f t="shared" si="83"/>
        <v/>
      </c>
      <c r="AG23" s="17" t="str">
        <f t="shared" si="83"/>
        <v/>
      </c>
      <c r="AH23" s="17" t="str">
        <f t="shared" si="83"/>
        <v/>
      </c>
      <c r="AI23" s="17" t="str">
        <f t="shared" si="83"/>
        <v/>
      </c>
      <c r="AJ23" s="17" t="str">
        <f t="shared" si="83"/>
        <v/>
      </c>
      <c r="AK23" s="17" t="str">
        <f t="shared" si="83"/>
        <v/>
      </c>
      <c r="AL23" s="17" t="str">
        <f t="shared" si="83"/>
        <v/>
      </c>
      <c r="AM23" s="17" t="str">
        <f t="shared" si="83"/>
        <v/>
      </c>
      <c r="AN23" s="17" t="str">
        <f t="shared" si="83"/>
        <v/>
      </c>
      <c r="AO23" s="17" t="str">
        <f t="shared" si="83"/>
        <v/>
      </c>
      <c r="AP23" s="17" t="str">
        <f t="shared" si="83"/>
        <v/>
      </c>
      <c r="AQ23" s="17" t="str">
        <f t="shared" si="84"/>
        <v/>
      </c>
      <c r="AR23" s="17" t="str">
        <f t="shared" si="84"/>
        <v/>
      </c>
      <c r="AS23" s="17" t="str">
        <f t="shared" si="84"/>
        <v/>
      </c>
      <c r="AT23" s="17" t="str">
        <f t="shared" si="84"/>
        <v/>
      </c>
      <c r="AU23" s="17" t="str">
        <f t="shared" si="84"/>
        <v/>
      </c>
      <c r="AV23" s="17" t="str">
        <f t="shared" si="84"/>
        <v/>
      </c>
      <c r="AW23" s="17" t="str">
        <f t="shared" si="84"/>
        <v/>
      </c>
      <c r="AX23" s="17" t="str">
        <f t="shared" si="84"/>
        <v/>
      </c>
      <c r="AY23" s="17" t="str">
        <f t="shared" si="84"/>
        <v/>
      </c>
      <c r="AZ23" s="17" t="str">
        <f t="shared" si="84"/>
        <v/>
      </c>
      <c r="BA23" s="17" t="str">
        <f t="shared" si="84"/>
        <v/>
      </c>
      <c r="BB23" s="17" t="str">
        <f t="shared" si="84"/>
        <v/>
      </c>
      <c r="BC23" s="17" t="str">
        <f t="shared" si="84"/>
        <v/>
      </c>
      <c r="BD23" s="17" t="str">
        <f t="shared" si="84"/>
        <v/>
      </c>
      <c r="BE23" s="17" t="str">
        <f t="shared" si="84"/>
        <v/>
      </c>
      <c r="BF23" s="17" t="str">
        <f t="shared" si="84"/>
        <v/>
      </c>
      <c r="BG23" s="17" t="str">
        <f t="shared" si="84"/>
        <v/>
      </c>
      <c r="BH23" s="17" t="str">
        <f t="shared" si="84"/>
        <v/>
      </c>
      <c r="BI23" s="17" t="str">
        <f t="shared" si="84"/>
        <v/>
      </c>
      <c r="BJ23" s="17" t="str">
        <f t="shared" si="84"/>
        <v/>
      </c>
      <c r="BK23" s="17" t="str">
        <f t="shared" si="84"/>
        <v/>
      </c>
      <c r="BL23" s="17" t="str">
        <f t="shared" si="84"/>
        <v/>
      </c>
      <c r="BM23" s="17" t="str">
        <f t="shared" si="84"/>
        <v/>
      </c>
      <c r="BN23" s="17" t="str">
        <f t="shared" si="84"/>
        <v/>
      </c>
      <c r="BO23" s="17" t="str">
        <f t="shared" si="84"/>
        <v/>
      </c>
      <c r="BP23" s="17" t="str">
        <f t="shared" si="84"/>
        <v/>
      </c>
      <c r="BQ23" s="17" t="str">
        <f t="shared" si="84"/>
        <v/>
      </c>
      <c r="BR23" s="17" t="str">
        <f t="shared" si="84"/>
        <v/>
      </c>
      <c r="BS23" s="17" t="str">
        <f t="shared" si="84"/>
        <v/>
      </c>
      <c r="BT23" s="17" t="str">
        <f t="shared" si="84"/>
        <v/>
      </c>
      <c r="BU23" s="17" t="str">
        <f t="shared" si="84"/>
        <v/>
      </c>
      <c r="BV23" s="17" t="str">
        <f t="shared" si="84"/>
        <v/>
      </c>
      <c r="BW23" s="17" t="str">
        <f t="shared" si="84"/>
        <v/>
      </c>
      <c r="BX23" s="17" t="str">
        <f t="shared" si="82"/>
        <v/>
      </c>
      <c r="BY23" s="17" t="str">
        <f t="shared" si="82"/>
        <v/>
      </c>
      <c r="BZ23" s="17" t="str">
        <f t="shared" si="82"/>
        <v/>
      </c>
      <c r="CA23" s="17" t="str">
        <f t="shared" si="82"/>
        <v/>
      </c>
      <c r="CB23" s="17" t="str">
        <f t="shared" si="82"/>
        <v/>
      </c>
      <c r="CC23" s="17" t="str">
        <f t="shared" si="82"/>
        <v/>
      </c>
      <c r="CD23" s="17" t="str">
        <f t="shared" si="82"/>
        <v/>
      </c>
      <c r="CE23" s="17" t="str">
        <f t="shared" si="82"/>
        <v/>
      </c>
      <c r="CF23" s="17" t="str">
        <f t="shared" si="82"/>
        <v/>
      </c>
      <c r="CG23" s="17" t="str">
        <f t="shared" si="82"/>
        <v/>
      </c>
      <c r="CH23" s="17" t="str">
        <f t="shared" si="82"/>
        <v/>
      </c>
      <c r="CI23" s="17" t="str">
        <f t="shared" si="82"/>
        <v/>
      </c>
      <c r="CJ23" s="17" t="str">
        <f t="shared" si="82"/>
        <v/>
      </c>
      <c r="CK23" s="17" t="str">
        <f t="shared" si="82"/>
        <v/>
      </c>
      <c r="CL23" s="17" t="str">
        <f t="shared" si="82"/>
        <v/>
      </c>
      <c r="CM23" s="17" t="str">
        <f t="shared" si="82"/>
        <v/>
      </c>
      <c r="CN23" s="17" t="str">
        <f t="shared" si="82"/>
        <v/>
      </c>
      <c r="CO23" s="17" t="str">
        <f t="shared" si="82"/>
        <v/>
      </c>
      <c r="CP23" s="17" t="str">
        <f t="shared" si="82"/>
        <v/>
      </c>
      <c r="CQ23" s="17" t="str">
        <f t="shared" si="82"/>
        <v/>
      </c>
      <c r="CR23" s="17" t="str">
        <f t="shared" si="82"/>
        <v/>
      </c>
      <c r="CS23" s="17" t="str">
        <f t="shared" si="82"/>
        <v/>
      </c>
      <c r="CT23" s="17" t="str">
        <f t="shared" si="82"/>
        <v/>
      </c>
      <c r="CU23" s="17" t="str">
        <f t="shared" si="82"/>
        <v/>
      </c>
      <c r="CV23" s="17" t="str">
        <f t="shared" si="82"/>
        <v/>
      </c>
      <c r="CW23" s="17" t="str">
        <f t="shared" si="82"/>
        <v/>
      </c>
      <c r="CX23" s="17" t="str">
        <f t="shared" si="82"/>
        <v/>
      </c>
      <c r="CY23" s="17" t="str">
        <f t="shared" si="82"/>
        <v/>
      </c>
      <c r="CZ23" s="17" t="str">
        <f t="shared" si="82"/>
        <v/>
      </c>
      <c r="DA23" s="17" t="str">
        <f t="shared" si="82"/>
        <v/>
      </c>
      <c r="DB23" s="17" t="str">
        <f t="shared" si="82"/>
        <v/>
      </c>
      <c r="DC23" s="17" t="str">
        <f t="shared" si="82"/>
        <v/>
      </c>
      <c r="DE23" s="23">
        <f t="shared" si="68"/>
        <v>0</v>
      </c>
      <c r="DF23" s="23">
        <f t="shared" si="69"/>
        <v>0</v>
      </c>
    </row>
    <row r="24" spans="2:110" ht="15.75" x14ac:dyDescent="0.25">
      <c r="B24" s="28">
        <f>IF(C24="","",B23+1)</f>
        <v>16</v>
      </c>
      <c r="C24" s="55" t="s">
        <v>82</v>
      </c>
      <c r="D24" s="31">
        <v>1</v>
      </c>
      <c r="E24" s="32">
        <v>15</v>
      </c>
      <c r="F24" s="31" t="s">
        <v>71</v>
      </c>
      <c r="G24" s="33">
        <v>0</v>
      </c>
      <c r="H24" s="29">
        <f t="shared" si="73"/>
        <v>45972</v>
      </c>
      <c r="I24" s="29">
        <f t="shared" si="74"/>
        <v>45972</v>
      </c>
      <c r="J24" s="58" t="s">
        <v>127</v>
      </c>
      <c r="K24" s="31" t="s">
        <v>9</v>
      </c>
      <c r="L24" s="34"/>
      <c r="M24" s="30" t="str">
        <f t="shared" si="70"/>
        <v/>
      </c>
      <c r="O24" s="16" t="str">
        <f t="shared" si="71"/>
        <v/>
      </c>
      <c r="P24" s="17" t="str">
        <f t="shared" si="71"/>
        <v/>
      </c>
      <c r="Q24" s="17" t="str">
        <f t="shared" si="71"/>
        <v/>
      </c>
      <c r="R24" s="17" t="str">
        <f t="shared" si="71"/>
        <v/>
      </c>
      <c r="S24" s="17" t="str">
        <f t="shared" si="71"/>
        <v/>
      </c>
      <c r="T24" s="17" t="str">
        <f t="shared" si="71"/>
        <v/>
      </c>
      <c r="U24" s="17" t="str">
        <f t="shared" si="71"/>
        <v>x</v>
      </c>
      <c r="V24" s="17" t="str">
        <f t="shared" si="71"/>
        <v/>
      </c>
      <c r="W24" s="17" t="str">
        <f t="shared" si="71"/>
        <v/>
      </c>
      <c r="X24" s="17" t="str">
        <f t="shared" si="71"/>
        <v/>
      </c>
      <c r="Y24" s="17" t="str">
        <f t="shared" si="71"/>
        <v/>
      </c>
      <c r="Z24" s="17" t="str">
        <f t="shared" si="71"/>
        <v/>
      </c>
      <c r="AA24" s="17" t="str">
        <f t="shared" si="71"/>
        <v/>
      </c>
      <c r="AB24" s="17" t="str">
        <f t="shared" si="71"/>
        <v/>
      </c>
      <c r="AC24" s="17" t="str">
        <f t="shared" si="71"/>
        <v/>
      </c>
      <c r="AD24" s="17" t="str">
        <f t="shared" si="71"/>
        <v/>
      </c>
      <c r="AE24" s="17" t="str">
        <f t="shared" si="83"/>
        <v/>
      </c>
      <c r="AF24" s="17" t="str">
        <f t="shared" si="83"/>
        <v/>
      </c>
      <c r="AG24" s="17" t="str">
        <f t="shared" si="83"/>
        <v/>
      </c>
      <c r="AH24" s="17" t="str">
        <f t="shared" si="83"/>
        <v/>
      </c>
      <c r="AI24" s="17" t="str">
        <f t="shared" si="83"/>
        <v/>
      </c>
      <c r="AJ24" s="17" t="str">
        <f t="shared" si="83"/>
        <v/>
      </c>
      <c r="AK24" s="17" t="str">
        <f t="shared" si="83"/>
        <v/>
      </c>
      <c r="AL24" s="17" t="str">
        <f t="shared" si="83"/>
        <v/>
      </c>
      <c r="AM24" s="17" t="str">
        <f t="shared" si="83"/>
        <v/>
      </c>
      <c r="AN24" s="17" t="str">
        <f t="shared" si="83"/>
        <v/>
      </c>
      <c r="AO24" s="17" t="str">
        <f t="shared" si="83"/>
        <v/>
      </c>
      <c r="AP24" s="17" t="str">
        <f t="shared" si="83"/>
        <v/>
      </c>
      <c r="AQ24" s="17" t="str">
        <f t="shared" si="84"/>
        <v/>
      </c>
      <c r="AR24" s="17" t="str">
        <f t="shared" si="84"/>
        <v/>
      </c>
      <c r="AS24" s="17" t="str">
        <f t="shared" si="84"/>
        <v/>
      </c>
      <c r="AT24" s="17" t="str">
        <f t="shared" si="84"/>
        <v/>
      </c>
      <c r="AU24" s="17" t="str">
        <f t="shared" si="84"/>
        <v/>
      </c>
      <c r="AV24" s="17" t="str">
        <f t="shared" si="84"/>
        <v/>
      </c>
      <c r="AW24" s="17" t="str">
        <f t="shared" si="84"/>
        <v/>
      </c>
      <c r="AX24" s="17" t="str">
        <f t="shared" si="84"/>
        <v/>
      </c>
      <c r="AY24" s="17" t="str">
        <f t="shared" si="84"/>
        <v/>
      </c>
      <c r="AZ24" s="17" t="str">
        <f t="shared" si="84"/>
        <v/>
      </c>
      <c r="BA24" s="17" t="str">
        <f t="shared" si="84"/>
        <v/>
      </c>
      <c r="BB24" s="17" t="str">
        <f t="shared" si="84"/>
        <v/>
      </c>
      <c r="BC24" s="17" t="str">
        <f t="shared" si="84"/>
        <v/>
      </c>
      <c r="BD24" s="17" t="str">
        <f t="shared" si="84"/>
        <v/>
      </c>
      <c r="BE24" s="17" t="str">
        <f t="shared" si="84"/>
        <v/>
      </c>
      <c r="BF24" s="17" t="str">
        <f t="shared" si="84"/>
        <v/>
      </c>
      <c r="BG24" s="17" t="str">
        <f t="shared" si="84"/>
        <v/>
      </c>
      <c r="BH24" s="17" t="str">
        <f t="shared" si="84"/>
        <v/>
      </c>
      <c r="BI24" s="17" t="str">
        <f t="shared" si="84"/>
        <v/>
      </c>
      <c r="BJ24" s="17" t="str">
        <f t="shared" si="84"/>
        <v/>
      </c>
      <c r="BK24" s="17" t="str">
        <f t="shared" si="84"/>
        <v/>
      </c>
      <c r="BL24" s="17" t="str">
        <f t="shared" si="84"/>
        <v/>
      </c>
      <c r="BM24" s="17" t="str">
        <f t="shared" si="84"/>
        <v/>
      </c>
      <c r="BN24" s="17" t="str">
        <f t="shared" si="84"/>
        <v/>
      </c>
      <c r="BO24" s="17" t="str">
        <f t="shared" si="84"/>
        <v/>
      </c>
      <c r="BP24" s="17" t="str">
        <f t="shared" si="84"/>
        <v/>
      </c>
      <c r="BQ24" s="17" t="str">
        <f t="shared" si="84"/>
        <v/>
      </c>
      <c r="BR24" s="17" t="str">
        <f t="shared" si="84"/>
        <v/>
      </c>
      <c r="BS24" s="17" t="str">
        <f t="shared" si="84"/>
        <v/>
      </c>
      <c r="BT24" s="17" t="str">
        <f t="shared" si="84"/>
        <v/>
      </c>
      <c r="BU24" s="17" t="str">
        <f t="shared" si="84"/>
        <v/>
      </c>
      <c r="BV24" s="17" t="str">
        <f t="shared" si="84"/>
        <v/>
      </c>
      <c r="BW24" s="17" t="str">
        <f t="shared" si="84"/>
        <v/>
      </c>
      <c r="BX24" s="17" t="str">
        <f t="shared" si="82"/>
        <v/>
      </c>
      <c r="BY24" s="17" t="str">
        <f t="shared" si="82"/>
        <v/>
      </c>
      <c r="BZ24" s="17" t="str">
        <f t="shared" si="82"/>
        <v/>
      </c>
      <c r="CA24" s="17" t="str">
        <f t="shared" si="82"/>
        <v/>
      </c>
      <c r="CB24" s="17" t="str">
        <f t="shared" si="82"/>
        <v/>
      </c>
      <c r="CC24" s="17" t="str">
        <f t="shared" si="82"/>
        <v/>
      </c>
      <c r="CD24" s="17" t="str">
        <f t="shared" si="82"/>
        <v/>
      </c>
      <c r="CE24" s="17" t="str">
        <f t="shared" si="82"/>
        <v/>
      </c>
      <c r="CF24" s="17" t="str">
        <f t="shared" si="82"/>
        <v/>
      </c>
      <c r="CG24" s="17" t="str">
        <f t="shared" si="82"/>
        <v/>
      </c>
      <c r="CH24" s="17" t="str">
        <f t="shared" si="82"/>
        <v/>
      </c>
      <c r="CI24" s="17" t="str">
        <f t="shared" si="82"/>
        <v/>
      </c>
      <c r="CJ24" s="17" t="str">
        <f t="shared" si="82"/>
        <v/>
      </c>
      <c r="CK24" s="17" t="str">
        <f t="shared" si="82"/>
        <v/>
      </c>
      <c r="CL24" s="17" t="str">
        <f t="shared" si="82"/>
        <v/>
      </c>
      <c r="CM24" s="17" t="str">
        <f t="shared" si="82"/>
        <v/>
      </c>
      <c r="CN24" s="17" t="str">
        <f t="shared" si="82"/>
        <v/>
      </c>
      <c r="CO24" s="17" t="str">
        <f t="shared" si="82"/>
        <v/>
      </c>
      <c r="CP24" s="17" t="str">
        <f t="shared" si="82"/>
        <v/>
      </c>
      <c r="CQ24" s="17" t="str">
        <f t="shared" si="82"/>
        <v/>
      </c>
      <c r="CR24" s="17" t="str">
        <f t="shared" si="82"/>
        <v/>
      </c>
      <c r="CS24" s="17" t="str">
        <f t="shared" si="82"/>
        <v/>
      </c>
      <c r="CT24" s="17" t="str">
        <f t="shared" si="82"/>
        <v/>
      </c>
      <c r="CU24" s="17" t="str">
        <f t="shared" si="82"/>
        <v/>
      </c>
      <c r="CV24" s="17" t="str">
        <f t="shared" si="82"/>
        <v/>
      </c>
      <c r="CW24" s="17" t="str">
        <f t="shared" si="82"/>
        <v/>
      </c>
      <c r="CX24" s="17" t="str">
        <f t="shared" si="82"/>
        <v/>
      </c>
      <c r="CY24" s="17" t="str">
        <f t="shared" si="82"/>
        <v/>
      </c>
      <c r="CZ24" s="17" t="str">
        <f t="shared" si="82"/>
        <v/>
      </c>
      <c r="DA24" s="17" t="str">
        <f t="shared" si="82"/>
        <v/>
      </c>
      <c r="DB24" s="17" t="str">
        <f t="shared" si="82"/>
        <v/>
      </c>
      <c r="DC24" s="17" t="str">
        <f t="shared" si="82"/>
        <v/>
      </c>
      <c r="DE24" s="23">
        <f t="shared" si="68"/>
        <v>0</v>
      </c>
      <c r="DF24" s="23">
        <f t="shared" si="69"/>
        <v>0</v>
      </c>
    </row>
    <row r="25" spans="2:110" ht="15.75" x14ac:dyDescent="0.25">
      <c r="B25" s="28">
        <f t="shared" si="72"/>
        <v>17</v>
      </c>
      <c r="C25" s="55" t="s">
        <v>81</v>
      </c>
      <c r="D25" s="31">
        <v>1</v>
      </c>
      <c r="E25" s="32">
        <v>16</v>
      </c>
      <c r="F25" s="31" t="s">
        <v>60</v>
      </c>
      <c r="G25" s="33">
        <v>0</v>
      </c>
      <c r="H25" s="29">
        <f t="shared" si="73"/>
        <v>45972</v>
      </c>
      <c r="I25" s="29">
        <f t="shared" si="74"/>
        <v>45972</v>
      </c>
      <c r="J25" s="58" t="s">
        <v>127</v>
      </c>
      <c r="K25" s="31" t="s">
        <v>9</v>
      </c>
      <c r="L25" s="34"/>
      <c r="M25" s="30" t="str">
        <f t="shared" si="70"/>
        <v/>
      </c>
      <c r="O25" s="16" t="str">
        <f t="shared" si="71"/>
        <v/>
      </c>
      <c r="P25" s="17" t="str">
        <f t="shared" si="71"/>
        <v/>
      </c>
      <c r="Q25" s="17" t="str">
        <f t="shared" si="71"/>
        <v/>
      </c>
      <c r="R25" s="17" t="str">
        <f t="shared" si="71"/>
        <v/>
      </c>
      <c r="S25" s="17" t="str">
        <f t="shared" si="71"/>
        <v/>
      </c>
      <c r="T25" s="17" t="str">
        <f t="shared" si="71"/>
        <v/>
      </c>
      <c r="U25" s="17" t="str">
        <f t="shared" si="71"/>
        <v>x</v>
      </c>
      <c r="V25" s="17" t="str">
        <f t="shared" si="71"/>
        <v/>
      </c>
      <c r="W25" s="17" t="str">
        <f t="shared" si="71"/>
        <v/>
      </c>
      <c r="X25" s="17" t="str">
        <f t="shared" si="71"/>
        <v/>
      </c>
      <c r="Y25" s="17" t="str">
        <f t="shared" si="71"/>
        <v/>
      </c>
      <c r="Z25" s="17" t="str">
        <f t="shared" si="71"/>
        <v/>
      </c>
      <c r="AA25" s="17" t="str">
        <f t="shared" si="71"/>
        <v/>
      </c>
      <c r="AB25" s="17" t="str">
        <f t="shared" si="71"/>
        <v/>
      </c>
      <c r="AC25" s="17" t="str">
        <f t="shared" si="71"/>
        <v/>
      </c>
      <c r="AD25" s="17" t="str">
        <f t="shared" si="71"/>
        <v/>
      </c>
      <c r="AE25" s="17" t="str">
        <f t="shared" si="83"/>
        <v/>
      </c>
      <c r="AF25" s="17" t="str">
        <f t="shared" si="83"/>
        <v/>
      </c>
      <c r="AG25" s="17" t="str">
        <f t="shared" si="83"/>
        <v/>
      </c>
      <c r="AH25" s="17" t="str">
        <f t="shared" si="83"/>
        <v/>
      </c>
      <c r="AI25" s="17" t="str">
        <f t="shared" si="83"/>
        <v/>
      </c>
      <c r="AJ25" s="17" t="str">
        <f t="shared" si="83"/>
        <v/>
      </c>
      <c r="AK25" s="17" t="str">
        <f t="shared" si="83"/>
        <v/>
      </c>
      <c r="AL25" s="17" t="str">
        <f t="shared" si="83"/>
        <v/>
      </c>
      <c r="AM25" s="17" t="str">
        <f t="shared" si="83"/>
        <v/>
      </c>
      <c r="AN25" s="17" t="str">
        <f t="shared" si="83"/>
        <v/>
      </c>
      <c r="AO25" s="17" t="str">
        <f t="shared" si="83"/>
        <v/>
      </c>
      <c r="AP25" s="17" t="str">
        <f t="shared" si="83"/>
        <v/>
      </c>
      <c r="AQ25" s="17" t="str">
        <f t="shared" si="84"/>
        <v/>
      </c>
      <c r="AR25" s="17" t="str">
        <f t="shared" si="84"/>
        <v/>
      </c>
      <c r="AS25" s="17" t="str">
        <f t="shared" si="84"/>
        <v/>
      </c>
      <c r="AT25" s="17" t="str">
        <f t="shared" si="84"/>
        <v/>
      </c>
      <c r="AU25" s="17" t="str">
        <f t="shared" si="84"/>
        <v/>
      </c>
      <c r="AV25" s="17" t="str">
        <f t="shared" si="84"/>
        <v/>
      </c>
      <c r="AW25" s="17" t="str">
        <f t="shared" si="84"/>
        <v/>
      </c>
      <c r="AX25" s="17" t="str">
        <f t="shared" si="84"/>
        <v/>
      </c>
      <c r="AY25" s="17" t="str">
        <f t="shared" si="84"/>
        <v/>
      </c>
      <c r="AZ25" s="17" t="str">
        <f t="shared" si="84"/>
        <v/>
      </c>
      <c r="BA25" s="17" t="str">
        <f t="shared" si="84"/>
        <v/>
      </c>
      <c r="BB25" s="17" t="str">
        <f t="shared" si="84"/>
        <v/>
      </c>
      <c r="BC25" s="17" t="str">
        <f t="shared" si="84"/>
        <v/>
      </c>
      <c r="BD25" s="17" t="str">
        <f t="shared" si="84"/>
        <v/>
      </c>
      <c r="BE25" s="17" t="str">
        <f t="shared" si="84"/>
        <v/>
      </c>
      <c r="BF25" s="17" t="str">
        <f t="shared" si="84"/>
        <v/>
      </c>
      <c r="BG25" s="17" t="str">
        <f t="shared" si="84"/>
        <v/>
      </c>
      <c r="BH25" s="17" t="str">
        <f t="shared" si="84"/>
        <v/>
      </c>
      <c r="BI25" s="17" t="str">
        <f t="shared" si="84"/>
        <v/>
      </c>
      <c r="BJ25" s="17" t="str">
        <f t="shared" si="84"/>
        <v/>
      </c>
      <c r="BK25" s="17" t="str">
        <f t="shared" si="84"/>
        <v/>
      </c>
      <c r="BL25" s="17" t="str">
        <f t="shared" si="84"/>
        <v/>
      </c>
      <c r="BM25" s="17" t="str">
        <f t="shared" si="84"/>
        <v/>
      </c>
      <c r="BN25" s="17" t="str">
        <f t="shared" si="84"/>
        <v/>
      </c>
      <c r="BO25" s="17" t="str">
        <f t="shared" si="84"/>
        <v/>
      </c>
      <c r="BP25" s="17" t="str">
        <f t="shared" si="84"/>
        <v/>
      </c>
      <c r="BQ25" s="17" t="str">
        <f t="shared" si="84"/>
        <v/>
      </c>
      <c r="BR25" s="17" t="str">
        <f t="shared" si="84"/>
        <v/>
      </c>
      <c r="BS25" s="17" t="str">
        <f t="shared" si="84"/>
        <v/>
      </c>
      <c r="BT25" s="17" t="str">
        <f t="shared" si="84"/>
        <v/>
      </c>
      <c r="BU25" s="17" t="str">
        <f t="shared" si="84"/>
        <v/>
      </c>
      <c r="BV25" s="17" t="str">
        <f t="shared" si="84"/>
        <v/>
      </c>
      <c r="BW25" s="17" t="str">
        <f t="shared" si="84"/>
        <v/>
      </c>
      <c r="BX25" s="17" t="str">
        <f t="shared" si="82"/>
        <v/>
      </c>
      <c r="BY25" s="17" t="str">
        <f t="shared" si="82"/>
        <v/>
      </c>
      <c r="BZ25" s="17" t="str">
        <f t="shared" si="82"/>
        <v/>
      </c>
      <c r="CA25" s="17" t="str">
        <f t="shared" si="82"/>
        <v/>
      </c>
      <c r="CB25" s="17" t="str">
        <f t="shared" si="82"/>
        <v/>
      </c>
      <c r="CC25" s="17" t="str">
        <f t="shared" si="82"/>
        <v/>
      </c>
      <c r="CD25" s="17" t="str">
        <f t="shared" si="82"/>
        <v/>
      </c>
      <c r="CE25" s="17" t="str">
        <f t="shared" si="82"/>
        <v/>
      </c>
      <c r="CF25" s="17" t="str">
        <f t="shared" si="82"/>
        <v/>
      </c>
      <c r="CG25" s="17" t="str">
        <f t="shared" si="82"/>
        <v/>
      </c>
      <c r="CH25" s="17" t="str">
        <f t="shared" si="82"/>
        <v/>
      </c>
      <c r="CI25" s="17" t="str">
        <f t="shared" si="82"/>
        <v/>
      </c>
      <c r="CJ25" s="17" t="str">
        <f t="shared" si="82"/>
        <v/>
      </c>
      <c r="CK25" s="17" t="str">
        <f t="shared" si="82"/>
        <v/>
      </c>
      <c r="CL25" s="17" t="str">
        <f t="shared" si="82"/>
        <v/>
      </c>
      <c r="CM25" s="17" t="str">
        <f t="shared" si="82"/>
        <v/>
      </c>
      <c r="CN25" s="17" t="str">
        <f t="shared" si="82"/>
        <v/>
      </c>
      <c r="CO25" s="17" t="str">
        <f t="shared" si="82"/>
        <v/>
      </c>
      <c r="CP25" s="17" t="str">
        <f t="shared" si="82"/>
        <v/>
      </c>
      <c r="CQ25" s="17" t="str">
        <f t="shared" si="82"/>
        <v/>
      </c>
      <c r="CR25" s="17" t="str">
        <f t="shared" si="82"/>
        <v/>
      </c>
      <c r="CS25" s="17" t="str">
        <f t="shared" si="82"/>
        <v/>
      </c>
      <c r="CT25" s="17" t="str">
        <f t="shared" si="82"/>
        <v/>
      </c>
      <c r="CU25" s="17" t="str">
        <f t="shared" si="82"/>
        <v/>
      </c>
      <c r="CV25" s="17" t="str">
        <f t="shared" ref="CV25:DC40" si="85">IF(AND(CV$8&gt;=$H25,CV$8&lt;=$I25),"x","")</f>
        <v/>
      </c>
      <c r="CW25" s="17" t="str">
        <f t="shared" si="85"/>
        <v/>
      </c>
      <c r="CX25" s="17" t="str">
        <f t="shared" si="85"/>
        <v/>
      </c>
      <c r="CY25" s="17" t="str">
        <f t="shared" si="85"/>
        <v/>
      </c>
      <c r="CZ25" s="17" t="str">
        <f t="shared" si="85"/>
        <v/>
      </c>
      <c r="DA25" s="17" t="str">
        <f t="shared" si="85"/>
        <v/>
      </c>
      <c r="DB25" s="17" t="str">
        <f t="shared" si="85"/>
        <v/>
      </c>
      <c r="DC25" s="17" t="str">
        <f t="shared" si="85"/>
        <v/>
      </c>
      <c r="DE25" s="23">
        <f t="shared" si="68"/>
        <v>0</v>
      </c>
      <c r="DF25" s="23">
        <f t="shared" si="69"/>
        <v>0</v>
      </c>
    </row>
    <row r="26" spans="2:110" ht="15.75" x14ac:dyDescent="0.25">
      <c r="B26" s="28">
        <f t="shared" si="72"/>
        <v>18</v>
      </c>
      <c r="C26" s="55" t="s">
        <v>97</v>
      </c>
      <c r="D26" s="31">
        <v>1</v>
      </c>
      <c r="E26" s="32">
        <v>17</v>
      </c>
      <c r="F26" s="31" t="s">
        <v>60</v>
      </c>
      <c r="G26" s="33">
        <v>1</v>
      </c>
      <c r="H26" s="29">
        <f t="shared" si="73"/>
        <v>45973</v>
      </c>
      <c r="I26" s="29">
        <f t="shared" ref="I26:I40" si="86">IF(H26="","",H26+D26-1)</f>
        <v>45973</v>
      </c>
      <c r="J26" s="58" t="s">
        <v>127</v>
      </c>
      <c r="K26" s="31" t="s">
        <v>9</v>
      </c>
      <c r="L26" s="34"/>
      <c r="M26" s="30" t="str">
        <f t="shared" ref="M26:M47" si="87">IF(H26="","",IF(AND(K26="Completado",L26=""),"Completar fecha de finalización",IF(AND(K26="Completado",L26&lt;&gt;""),L26-H26+1,"")))</f>
        <v/>
      </c>
      <c r="O26" s="16" t="str">
        <f t="shared" si="71"/>
        <v/>
      </c>
      <c r="P26" s="17" t="str">
        <f t="shared" si="71"/>
        <v/>
      </c>
      <c r="Q26" s="17" t="str">
        <f t="shared" si="71"/>
        <v/>
      </c>
      <c r="R26" s="17" t="str">
        <f t="shared" si="71"/>
        <v/>
      </c>
      <c r="S26" s="17" t="str">
        <f t="shared" si="71"/>
        <v/>
      </c>
      <c r="T26" s="17" t="str">
        <f t="shared" si="71"/>
        <v/>
      </c>
      <c r="U26" s="17" t="str">
        <f t="shared" si="71"/>
        <v/>
      </c>
      <c r="V26" s="17" t="str">
        <f t="shared" si="71"/>
        <v>x</v>
      </c>
      <c r="W26" s="17" t="str">
        <f t="shared" si="71"/>
        <v/>
      </c>
      <c r="X26" s="17" t="str">
        <f t="shared" si="71"/>
        <v/>
      </c>
      <c r="Y26" s="17" t="str">
        <f t="shared" si="71"/>
        <v/>
      </c>
      <c r="Z26" s="17" t="str">
        <f t="shared" si="71"/>
        <v/>
      </c>
      <c r="AA26" s="17" t="str">
        <f t="shared" si="71"/>
        <v/>
      </c>
      <c r="AB26" s="17" t="str">
        <f t="shared" si="71"/>
        <v/>
      </c>
      <c r="AC26" s="17" t="str">
        <f t="shared" si="71"/>
        <v/>
      </c>
      <c r="AD26" s="17" t="str">
        <f t="shared" si="71"/>
        <v/>
      </c>
      <c r="AE26" s="17" t="str">
        <f t="shared" si="83"/>
        <v/>
      </c>
      <c r="AF26" s="17" t="str">
        <f t="shared" si="83"/>
        <v/>
      </c>
      <c r="AG26" s="17" t="str">
        <f t="shared" si="83"/>
        <v/>
      </c>
      <c r="AH26" s="17" t="str">
        <f t="shared" si="83"/>
        <v/>
      </c>
      <c r="AI26" s="17" t="str">
        <f t="shared" si="83"/>
        <v/>
      </c>
      <c r="AJ26" s="17" t="str">
        <f t="shared" si="83"/>
        <v/>
      </c>
      <c r="AK26" s="17" t="str">
        <f t="shared" si="83"/>
        <v/>
      </c>
      <c r="AL26" s="17" t="str">
        <f t="shared" si="83"/>
        <v/>
      </c>
      <c r="AM26" s="17" t="str">
        <f t="shared" si="83"/>
        <v/>
      </c>
      <c r="AN26" s="17" t="str">
        <f t="shared" si="83"/>
        <v/>
      </c>
      <c r="AO26" s="17" t="str">
        <f t="shared" si="83"/>
        <v/>
      </c>
      <c r="AP26" s="17" t="str">
        <f t="shared" si="83"/>
        <v/>
      </c>
      <c r="AQ26" s="17" t="str">
        <f t="shared" si="84"/>
        <v/>
      </c>
      <c r="AR26" s="17" t="str">
        <f t="shared" si="84"/>
        <v/>
      </c>
      <c r="AS26" s="17" t="str">
        <f t="shared" si="84"/>
        <v/>
      </c>
      <c r="AT26" s="17" t="str">
        <f t="shared" si="84"/>
        <v/>
      </c>
      <c r="AU26" s="17" t="str">
        <f t="shared" si="84"/>
        <v/>
      </c>
      <c r="AV26" s="17" t="str">
        <f t="shared" si="84"/>
        <v/>
      </c>
      <c r="AW26" s="17" t="str">
        <f t="shared" si="84"/>
        <v/>
      </c>
      <c r="AX26" s="17" t="str">
        <f t="shared" si="84"/>
        <v/>
      </c>
      <c r="AY26" s="17" t="str">
        <f t="shared" si="84"/>
        <v/>
      </c>
      <c r="AZ26" s="17" t="str">
        <f t="shared" si="84"/>
        <v/>
      </c>
      <c r="BA26" s="17" t="str">
        <f t="shared" si="84"/>
        <v/>
      </c>
      <c r="BB26" s="17" t="str">
        <f t="shared" si="84"/>
        <v/>
      </c>
      <c r="BC26" s="17" t="str">
        <f t="shared" si="84"/>
        <v/>
      </c>
      <c r="BD26" s="17" t="str">
        <f t="shared" si="84"/>
        <v/>
      </c>
      <c r="BE26" s="17" t="str">
        <f t="shared" si="84"/>
        <v/>
      </c>
      <c r="BF26" s="17" t="str">
        <f t="shared" si="84"/>
        <v/>
      </c>
      <c r="BG26" s="17" t="str">
        <f t="shared" si="84"/>
        <v/>
      </c>
      <c r="BH26" s="17" t="str">
        <f t="shared" si="84"/>
        <v/>
      </c>
      <c r="BI26" s="17" t="str">
        <f t="shared" si="84"/>
        <v/>
      </c>
      <c r="BJ26" s="17" t="str">
        <f t="shared" si="84"/>
        <v/>
      </c>
      <c r="BK26" s="17" t="str">
        <f t="shared" si="84"/>
        <v/>
      </c>
      <c r="BL26" s="17" t="str">
        <f t="shared" si="84"/>
        <v/>
      </c>
      <c r="BM26" s="17" t="str">
        <f t="shared" si="84"/>
        <v/>
      </c>
      <c r="BN26" s="17" t="str">
        <f t="shared" si="84"/>
        <v/>
      </c>
      <c r="BO26" s="17" t="str">
        <f t="shared" si="84"/>
        <v/>
      </c>
      <c r="BP26" s="17" t="str">
        <f t="shared" si="84"/>
        <v/>
      </c>
      <c r="BQ26" s="17" t="str">
        <f t="shared" si="84"/>
        <v/>
      </c>
      <c r="BR26" s="17" t="str">
        <f t="shared" si="84"/>
        <v/>
      </c>
      <c r="BS26" s="17" t="str">
        <f t="shared" ref="BS26:CH48" si="88">IF(AND(BS$8&gt;=$H26,BS$8&lt;=$I26),"x","")</f>
        <v/>
      </c>
      <c r="BT26" s="17" t="str">
        <f t="shared" si="88"/>
        <v/>
      </c>
      <c r="BU26" s="17" t="str">
        <f t="shared" si="88"/>
        <v/>
      </c>
      <c r="BV26" s="17" t="str">
        <f t="shared" si="88"/>
        <v/>
      </c>
      <c r="BW26" s="17" t="str">
        <f t="shared" si="88"/>
        <v/>
      </c>
      <c r="BX26" s="17" t="str">
        <f t="shared" si="88"/>
        <v/>
      </c>
      <c r="BY26" s="17" t="str">
        <f t="shared" si="88"/>
        <v/>
      </c>
      <c r="BZ26" s="17" t="str">
        <f t="shared" si="88"/>
        <v/>
      </c>
      <c r="CA26" s="17" t="str">
        <f t="shared" si="88"/>
        <v/>
      </c>
      <c r="CB26" s="17" t="str">
        <f t="shared" si="88"/>
        <v/>
      </c>
      <c r="CC26" s="17" t="str">
        <f t="shared" si="88"/>
        <v/>
      </c>
      <c r="CD26" s="17" t="str">
        <f t="shared" si="88"/>
        <v/>
      </c>
      <c r="CE26" s="17" t="str">
        <f t="shared" si="88"/>
        <v/>
      </c>
      <c r="CF26" s="17" t="str">
        <f t="shared" si="88"/>
        <v/>
      </c>
      <c r="CG26" s="17" t="str">
        <f t="shared" si="88"/>
        <v/>
      </c>
      <c r="CH26" s="17" t="str">
        <f t="shared" si="88"/>
        <v/>
      </c>
      <c r="CI26" s="17" t="str">
        <f t="shared" ref="CI26:CX45" si="89">IF(AND(CI$8&gt;=$H26,CI$8&lt;=$I26),"x","")</f>
        <v/>
      </c>
      <c r="CJ26" s="17" t="str">
        <f t="shared" si="89"/>
        <v/>
      </c>
      <c r="CK26" s="17" t="str">
        <f t="shared" si="89"/>
        <v/>
      </c>
      <c r="CL26" s="17" t="str">
        <f t="shared" si="89"/>
        <v/>
      </c>
      <c r="CM26" s="17" t="str">
        <f t="shared" si="89"/>
        <v/>
      </c>
      <c r="CN26" s="17" t="str">
        <f t="shared" si="89"/>
        <v/>
      </c>
      <c r="CO26" s="17" t="str">
        <f t="shared" si="89"/>
        <v/>
      </c>
      <c r="CP26" s="17" t="str">
        <f t="shared" si="89"/>
        <v/>
      </c>
      <c r="CQ26" s="17" t="str">
        <f t="shared" si="89"/>
        <v/>
      </c>
      <c r="CR26" s="17" t="str">
        <f t="shared" si="89"/>
        <v/>
      </c>
      <c r="CS26" s="17" t="str">
        <f t="shared" si="89"/>
        <v/>
      </c>
      <c r="CT26" s="17" t="str">
        <f t="shared" si="89"/>
        <v/>
      </c>
      <c r="CU26" s="17" t="str">
        <f t="shared" si="89"/>
        <v/>
      </c>
      <c r="CV26" s="17" t="str">
        <f t="shared" si="85"/>
        <v/>
      </c>
      <c r="CW26" s="17" t="str">
        <f t="shared" si="85"/>
        <v/>
      </c>
      <c r="CX26" s="17" t="str">
        <f t="shared" si="85"/>
        <v/>
      </c>
      <c r="CY26" s="17" t="str">
        <f t="shared" si="85"/>
        <v/>
      </c>
      <c r="CZ26" s="17" t="str">
        <f t="shared" si="85"/>
        <v/>
      </c>
      <c r="DA26" s="17" t="str">
        <f t="shared" si="85"/>
        <v/>
      </c>
      <c r="DB26" s="17" t="str">
        <f t="shared" si="85"/>
        <v/>
      </c>
      <c r="DC26" s="17" t="str">
        <f t="shared" si="85"/>
        <v/>
      </c>
      <c r="DE26" s="23">
        <f t="shared" ref="DE26:DE61" si="90">IF(K26="Completado",IF(M26&lt;D26,D26-M26,0),0)</f>
        <v>0</v>
      </c>
      <c r="DF26" s="23">
        <f t="shared" ref="DF26:DF61" si="91">IFERROR(IF(K26="Completado",IF(M26&gt;D26,M26-D26,0),0),0)</f>
        <v>0</v>
      </c>
    </row>
    <row r="27" spans="2:110" ht="15.75" x14ac:dyDescent="0.25">
      <c r="B27" s="28">
        <f t="shared" si="72"/>
        <v>19</v>
      </c>
      <c r="C27" s="55" t="s">
        <v>98</v>
      </c>
      <c r="D27" s="31">
        <v>1</v>
      </c>
      <c r="E27" s="32">
        <v>18</v>
      </c>
      <c r="F27" s="31" t="s">
        <v>60</v>
      </c>
      <c r="G27" s="33">
        <v>0</v>
      </c>
      <c r="H27" s="29">
        <f t="shared" si="73"/>
        <v>45973</v>
      </c>
      <c r="I27" s="29">
        <f t="shared" si="86"/>
        <v>45973</v>
      </c>
      <c r="J27" s="58" t="s">
        <v>127</v>
      </c>
      <c r="K27" s="31" t="s">
        <v>9</v>
      </c>
      <c r="L27" s="34"/>
      <c r="M27" s="30" t="str">
        <f t="shared" si="87"/>
        <v/>
      </c>
      <c r="O27" s="16" t="str">
        <f t="shared" si="71"/>
        <v/>
      </c>
      <c r="P27" s="17" t="str">
        <f t="shared" si="71"/>
        <v/>
      </c>
      <c r="Q27" s="17" t="str">
        <f t="shared" si="71"/>
        <v/>
      </c>
      <c r="R27" s="17" t="str">
        <f t="shared" si="71"/>
        <v/>
      </c>
      <c r="S27" s="17" t="str">
        <f t="shared" si="71"/>
        <v/>
      </c>
      <c r="T27" s="17" t="str">
        <f t="shared" si="71"/>
        <v/>
      </c>
      <c r="U27" s="17" t="str">
        <f t="shared" si="71"/>
        <v/>
      </c>
      <c r="V27" s="17" t="str">
        <f t="shared" si="71"/>
        <v>x</v>
      </c>
      <c r="W27" s="17" t="str">
        <f t="shared" si="71"/>
        <v/>
      </c>
      <c r="X27" s="17" t="str">
        <f t="shared" si="71"/>
        <v/>
      </c>
      <c r="Y27" s="17" t="str">
        <f t="shared" si="71"/>
        <v/>
      </c>
      <c r="Z27" s="17" t="str">
        <f t="shared" si="71"/>
        <v/>
      </c>
      <c r="AA27" s="17" t="str">
        <f t="shared" si="71"/>
        <v/>
      </c>
      <c r="AB27" s="17" t="str">
        <f t="shared" si="71"/>
        <v/>
      </c>
      <c r="AC27" s="17" t="str">
        <f t="shared" si="71"/>
        <v/>
      </c>
      <c r="AD27" s="17" t="str">
        <f t="shared" si="71"/>
        <v/>
      </c>
      <c r="AE27" s="17" t="str">
        <f t="shared" si="83"/>
        <v/>
      </c>
      <c r="AF27" s="17" t="str">
        <f t="shared" si="83"/>
        <v/>
      </c>
      <c r="AG27" s="17" t="str">
        <f t="shared" si="83"/>
        <v/>
      </c>
      <c r="AH27" s="17" t="str">
        <f t="shared" si="83"/>
        <v/>
      </c>
      <c r="AI27" s="17" t="str">
        <f t="shared" si="83"/>
        <v/>
      </c>
      <c r="AJ27" s="17" t="str">
        <f t="shared" si="83"/>
        <v/>
      </c>
      <c r="AK27" s="17" t="str">
        <f t="shared" si="83"/>
        <v/>
      </c>
      <c r="AL27" s="17" t="str">
        <f t="shared" si="83"/>
        <v/>
      </c>
      <c r="AM27" s="17" t="str">
        <f t="shared" si="83"/>
        <v/>
      </c>
      <c r="AN27" s="17" t="str">
        <f t="shared" si="83"/>
        <v/>
      </c>
      <c r="AO27" s="17" t="str">
        <f t="shared" si="83"/>
        <v/>
      </c>
      <c r="AP27" s="17" t="str">
        <f t="shared" si="83"/>
        <v/>
      </c>
      <c r="AQ27" s="17" t="str">
        <f t="shared" si="83"/>
        <v/>
      </c>
      <c r="AR27" s="17" t="str">
        <f t="shared" si="83"/>
        <v/>
      </c>
      <c r="AS27" s="17" t="str">
        <f t="shared" si="83"/>
        <v/>
      </c>
      <c r="AT27" s="17" t="str">
        <f t="shared" si="83"/>
        <v/>
      </c>
      <c r="AU27" s="17" t="str">
        <f t="shared" ref="AU27:BJ42" si="92">IF(AND(AU$8&gt;=$H27,AU$8&lt;=$I27),"x","")</f>
        <v/>
      </c>
      <c r="AV27" s="17" t="str">
        <f t="shared" si="92"/>
        <v/>
      </c>
      <c r="AW27" s="17" t="str">
        <f t="shared" si="92"/>
        <v/>
      </c>
      <c r="AX27" s="17" t="str">
        <f t="shared" si="92"/>
        <v/>
      </c>
      <c r="AY27" s="17" t="str">
        <f t="shared" si="92"/>
        <v/>
      </c>
      <c r="AZ27" s="17" t="str">
        <f t="shared" si="92"/>
        <v/>
      </c>
      <c r="BA27" s="17" t="str">
        <f t="shared" si="92"/>
        <v/>
      </c>
      <c r="BB27" s="17" t="str">
        <f t="shared" si="92"/>
        <v/>
      </c>
      <c r="BC27" s="17" t="str">
        <f t="shared" si="92"/>
        <v/>
      </c>
      <c r="BD27" s="17" t="str">
        <f t="shared" si="92"/>
        <v/>
      </c>
      <c r="BE27" s="17" t="str">
        <f t="shared" si="92"/>
        <v/>
      </c>
      <c r="BF27" s="17" t="str">
        <f t="shared" si="92"/>
        <v/>
      </c>
      <c r="BG27" s="17" t="str">
        <f t="shared" si="92"/>
        <v/>
      </c>
      <c r="BH27" s="17" t="str">
        <f t="shared" si="92"/>
        <v/>
      </c>
      <c r="BI27" s="17" t="str">
        <f t="shared" si="92"/>
        <v/>
      </c>
      <c r="BJ27" s="17" t="str">
        <f t="shared" si="92"/>
        <v/>
      </c>
      <c r="BK27" s="17" t="str">
        <f t="shared" ref="BK27:BW41" si="93">IF(AND(BK$8&gt;=$H27,BK$8&lt;=$I27),"x","")</f>
        <v/>
      </c>
      <c r="BL27" s="17" t="str">
        <f t="shared" si="93"/>
        <v/>
      </c>
      <c r="BM27" s="17" t="str">
        <f t="shared" si="93"/>
        <v/>
      </c>
      <c r="BN27" s="17" t="str">
        <f t="shared" si="93"/>
        <v/>
      </c>
      <c r="BO27" s="17" t="str">
        <f t="shared" si="93"/>
        <v/>
      </c>
      <c r="BP27" s="17" t="str">
        <f t="shared" si="93"/>
        <v/>
      </c>
      <c r="BQ27" s="17" t="str">
        <f t="shared" si="93"/>
        <v/>
      </c>
      <c r="BR27" s="17" t="str">
        <f t="shared" si="93"/>
        <v/>
      </c>
      <c r="BS27" s="17" t="str">
        <f t="shared" si="93"/>
        <v/>
      </c>
      <c r="BT27" s="17" t="str">
        <f t="shared" si="93"/>
        <v/>
      </c>
      <c r="BU27" s="17" t="str">
        <f t="shared" si="93"/>
        <v/>
      </c>
      <c r="BV27" s="17" t="str">
        <f t="shared" si="93"/>
        <v/>
      </c>
      <c r="BW27" s="17" t="str">
        <f t="shared" si="93"/>
        <v/>
      </c>
      <c r="BX27" s="17" t="str">
        <f t="shared" si="88"/>
        <v/>
      </c>
      <c r="BY27" s="17" t="str">
        <f t="shared" si="88"/>
        <v/>
      </c>
      <c r="BZ27" s="17" t="str">
        <f t="shared" si="88"/>
        <v/>
      </c>
      <c r="CA27" s="17" t="str">
        <f t="shared" si="88"/>
        <v/>
      </c>
      <c r="CB27" s="17" t="str">
        <f t="shared" si="88"/>
        <v/>
      </c>
      <c r="CC27" s="17" t="str">
        <f t="shared" si="88"/>
        <v/>
      </c>
      <c r="CD27" s="17" t="str">
        <f t="shared" si="88"/>
        <v/>
      </c>
      <c r="CE27" s="17" t="str">
        <f t="shared" si="88"/>
        <v/>
      </c>
      <c r="CF27" s="17" t="str">
        <f t="shared" si="88"/>
        <v/>
      </c>
      <c r="CG27" s="17" t="str">
        <f t="shared" si="88"/>
        <v/>
      </c>
      <c r="CH27" s="17" t="str">
        <f t="shared" si="88"/>
        <v/>
      </c>
      <c r="CI27" s="17" t="str">
        <f t="shared" si="89"/>
        <v/>
      </c>
      <c r="CJ27" s="17" t="str">
        <f t="shared" si="89"/>
        <v/>
      </c>
      <c r="CK27" s="17" t="str">
        <f t="shared" si="89"/>
        <v/>
      </c>
      <c r="CL27" s="17" t="str">
        <f t="shared" si="89"/>
        <v/>
      </c>
      <c r="CM27" s="17" t="str">
        <f t="shared" si="89"/>
        <v/>
      </c>
      <c r="CN27" s="17" t="str">
        <f t="shared" si="89"/>
        <v/>
      </c>
      <c r="CO27" s="17" t="str">
        <f t="shared" si="89"/>
        <v/>
      </c>
      <c r="CP27" s="17" t="str">
        <f t="shared" si="89"/>
        <v/>
      </c>
      <c r="CQ27" s="17" t="str">
        <f t="shared" si="89"/>
        <v/>
      </c>
      <c r="CR27" s="17" t="str">
        <f t="shared" si="89"/>
        <v/>
      </c>
      <c r="CS27" s="17" t="str">
        <f t="shared" si="89"/>
        <v/>
      </c>
      <c r="CT27" s="17" t="str">
        <f t="shared" si="89"/>
        <v/>
      </c>
      <c r="CU27" s="17" t="str">
        <f t="shared" si="89"/>
        <v/>
      </c>
      <c r="CV27" s="17" t="str">
        <f t="shared" si="85"/>
        <v/>
      </c>
      <c r="CW27" s="17" t="str">
        <f t="shared" si="85"/>
        <v/>
      </c>
      <c r="CX27" s="17" t="str">
        <f t="shared" si="85"/>
        <v/>
      </c>
      <c r="CY27" s="17" t="str">
        <f t="shared" si="85"/>
        <v/>
      </c>
      <c r="CZ27" s="17" t="str">
        <f t="shared" si="85"/>
        <v/>
      </c>
      <c r="DA27" s="17" t="str">
        <f t="shared" si="85"/>
        <v/>
      </c>
      <c r="DB27" s="17" t="str">
        <f t="shared" si="85"/>
        <v/>
      </c>
      <c r="DC27" s="17" t="str">
        <f t="shared" si="85"/>
        <v/>
      </c>
      <c r="DE27" s="23">
        <f t="shared" si="90"/>
        <v>0</v>
      </c>
      <c r="DF27" s="23">
        <f t="shared" si="91"/>
        <v>0</v>
      </c>
    </row>
    <row r="28" spans="2:110" ht="15.75" x14ac:dyDescent="0.25">
      <c r="B28" s="28">
        <f t="shared" si="72"/>
        <v>20</v>
      </c>
      <c r="C28" s="55" t="s">
        <v>99</v>
      </c>
      <c r="D28" s="31">
        <v>1</v>
      </c>
      <c r="E28" s="32">
        <v>19</v>
      </c>
      <c r="F28" s="31" t="s">
        <v>60</v>
      </c>
      <c r="G28" s="33">
        <v>1</v>
      </c>
      <c r="H28" s="29">
        <f t="shared" si="73"/>
        <v>45974</v>
      </c>
      <c r="I28" s="29">
        <f t="shared" si="86"/>
        <v>45974</v>
      </c>
      <c r="J28" s="58" t="s">
        <v>127</v>
      </c>
      <c r="K28" s="31" t="s">
        <v>9</v>
      </c>
      <c r="L28" s="34"/>
      <c r="M28" s="30" t="str">
        <f t="shared" si="87"/>
        <v/>
      </c>
      <c r="O28" s="16" t="str">
        <f t="shared" ref="O28:AD43" si="94">IF(AND(O$8&gt;=$H28,O$8&lt;=$I28),"x","")</f>
        <v/>
      </c>
      <c r="P28" s="17" t="str">
        <f t="shared" si="94"/>
        <v/>
      </c>
      <c r="Q28" s="17" t="str">
        <f t="shared" si="94"/>
        <v/>
      </c>
      <c r="R28" s="17" t="str">
        <f t="shared" si="94"/>
        <v/>
      </c>
      <c r="S28" s="17" t="str">
        <f t="shared" si="94"/>
        <v/>
      </c>
      <c r="T28" s="17" t="str">
        <f t="shared" si="94"/>
        <v/>
      </c>
      <c r="U28" s="17" t="str">
        <f t="shared" si="94"/>
        <v/>
      </c>
      <c r="V28" s="17" t="str">
        <f t="shared" si="94"/>
        <v/>
      </c>
      <c r="W28" s="17" t="str">
        <f t="shared" si="94"/>
        <v>x</v>
      </c>
      <c r="X28" s="17" t="str">
        <f t="shared" si="94"/>
        <v/>
      </c>
      <c r="Y28" s="17" t="str">
        <f t="shared" si="94"/>
        <v/>
      </c>
      <c r="Z28" s="17" t="str">
        <f t="shared" si="94"/>
        <v/>
      </c>
      <c r="AA28" s="17" t="str">
        <f t="shared" si="94"/>
        <v/>
      </c>
      <c r="AB28" s="17" t="str">
        <f t="shared" si="94"/>
        <v/>
      </c>
      <c r="AC28" s="17" t="str">
        <f t="shared" si="94"/>
        <v/>
      </c>
      <c r="AD28" s="17" t="str">
        <f t="shared" si="94"/>
        <v/>
      </c>
      <c r="AE28" s="17" t="str">
        <f t="shared" si="83"/>
        <v/>
      </c>
      <c r="AF28" s="17" t="str">
        <f t="shared" si="83"/>
        <v/>
      </c>
      <c r="AG28" s="17" t="str">
        <f t="shared" si="83"/>
        <v/>
      </c>
      <c r="AH28" s="17" t="str">
        <f t="shared" si="83"/>
        <v/>
      </c>
      <c r="AI28" s="17" t="str">
        <f t="shared" si="83"/>
        <v/>
      </c>
      <c r="AJ28" s="17" t="str">
        <f t="shared" si="83"/>
        <v/>
      </c>
      <c r="AK28" s="17" t="str">
        <f t="shared" si="83"/>
        <v/>
      </c>
      <c r="AL28" s="17" t="str">
        <f t="shared" si="83"/>
        <v/>
      </c>
      <c r="AM28" s="17" t="str">
        <f t="shared" si="83"/>
        <v/>
      </c>
      <c r="AN28" s="17" t="str">
        <f t="shared" si="83"/>
        <v/>
      </c>
      <c r="AO28" s="17" t="str">
        <f t="shared" si="83"/>
        <v/>
      </c>
      <c r="AP28" s="17" t="str">
        <f t="shared" si="83"/>
        <v/>
      </c>
      <c r="AQ28" s="17" t="str">
        <f t="shared" si="83"/>
        <v/>
      </c>
      <c r="AR28" s="17" t="str">
        <f t="shared" si="83"/>
        <v/>
      </c>
      <c r="AS28" s="17" t="str">
        <f t="shared" si="83"/>
        <v/>
      </c>
      <c r="AT28" s="17" t="str">
        <f t="shared" si="83"/>
        <v/>
      </c>
      <c r="AU28" s="17" t="str">
        <f t="shared" si="92"/>
        <v/>
      </c>
      <c r="AV28" s="17" t="str">
        <f t="shared" si="92"/>
        <v/>
      </c>
      <c r="AW28" s="17" t="str">
        <f t="shared" si="92"/>
        <v/>
      </c>
      <c r="AX28" s="17" t="str">
        <f t="shared" si="92"/>
        <v/>
      </c>
      <c r="AY28" s="17" t="str">
        <f t="shared" si="92"/>
        <v/>
      </c>
      <c r="AZ28" s="17" t="str">
        <f t="shared" si="92"/>
        <v/>
      </c>
      <c r="BA28" s="17" t="str">
        <f t="shared" si="92"/>
        <v/>
      </c>
      <c r="BB28" s="17" t="str">
        <f t="shared" si="92"/>
        <v/>
      </c>
      <c r="BC28" s="17" t="str">
        <f t="shared" si="92"/>
        <v/>
      </c>
      <c r="BD28" s="17" t="str">
        <f t="shared" si="92"/>
        <v/>
      </c>
      <c r="BE28" s="17" t="str">
        <f t="shared" si="92"/>
        <v/>
      </c>
      <c r="BF28" s="17" t="str">
        <f t="shared" si="92"/>
        <v/>
      </c>
      <c r="BG28" s="17" t="str">
        <f t="shared" si="92"/>
        <v/>
      </c>
      <c r="BH28" s="17" t="str">
        <f t="shared" si="92"/>
        <v/>
      </c>
      <c r="BI28" s="17" t="str">
        <f t="shared" si="92"/>
        <v/>
      </c>
      <c r="BJ28" s="17" t="str">
        <f t="shared" si="92"/>
        <v/>
      </c>
      <c r="BK28" s="17" t="str">
        <f t="shared" si="93"/>
        <v/>
      </c>
      <c r="BL28" s="17" t="str">
        <f t="shared" si="93"/>
        <v/>
      </c>
      <c r="BM28" s="17" t="str">
        <f t="shared" si="93"/>
        <v/>
      </c>
      <c r="BN28" s="17" t="str">
        <f t="shared" si="93"/>
        <v/>
      </c>
      <c r="BO28" s="17" t="str">
        <f t="shared" si="93"/>
        <v/>
      </c>
      <c r="BP28" s="17" t="str">
        <f t="shared" si="93"/>
        <v/>
      </c>
      <c r="BQ28" s="17" t="str">
        <f t="shared" si="93"/>
        <v/>
      </c>
      <c r="BR28" s="17" t="str">
        <f t="shared" si="93"/>
        <v/>
      </c>
      <c r="BS28" s="17" t="str">
        <f t="shared" si="93"/>
        <v/>
      </c>
      <c r="BT28" s="17" t="str">
        <f t="shared" si="93"/>
        <v/>
      </c>
      <c r="BU28" s="17" t="str">
        <f t="shared" si="93"/>
        <v/>
      </c>
      <c r="BV28" s="17" t="str">
        <f t="shared" si="93"/>
        <v/>
      </c>
      <c r="BW28" s="17" t="str">
        <f t="shared" si="93"/>
        <v/>
      </c>
      <c r="BX28" s="17" t="str">
        <f t="shared" si="88"/>
        <v/>
      </c>
      <c r="BY28" s="17" t="str">
        <f t="shared" si="88"/>
        <v/>
      </c>
      <c r="BZ28" s="17" t="str">
        <f t="shared" si="88"/>
        <v/>
      </c>
      <c r="CA28" s="17" t="str">
        <f t="shared" si="88"/>
        <v/>
      </c>
      <c r="CB28" s="17" t="str">
        <f t="shared" si="88"/>
        <v/>
      </c>
      <c r="CC28" s="17" t="str">
        <f t="shared" si="88"/>
        <v/>
      </c>
      <c r="CD28" s="17" t="str">
        <f t="shared" si="88"/>
        <v/>
      </c>
      <c r="CE28" s="17" t="str">
        <f t="shared" si="88"/>
        <v/>
      </c>
      <c r="CF28" s="17" t="str">
        <f t="shared" si="88"/>
        <v/>
      </c>
      <c r="CG28" s="17" t="str">
        <f t="shared" si="88"/>
        <v/>
      </c>
      <c r="CH28" s="17" t="str">
        <f t="shared" si="88"/>
        <v/>
      </c>
      <c r="CI28" s="17" t="str">
        <f t="shared" si="89"/>
        <v/>
      </c>
      <c r="CJ28" s="17" t="str">
        <f t="shared" si="89"/>
        <v/>
      </c>
      <c r="CK28" s="17" t="str">
        <f t="shared" si="89"/>
        <v/>
      </c>
      <c r="CL28" s="17" t="str">
        <f t="shared" si="89"/>
        <v/>
      </c>
      <c r="CM28" s="17" t="str">
        <f t="shared" si="89"/>
        <v/>
      </c>
      <c r="CN28" s="17" t="str">
        <f t="shared" si="89"/>
        <v/>
      </c>
      <c r="CO28" s="17" t="str">
        <f t="shared" si="89"/>
        <v/>
      </c>
      <c r="CP28" s="17" t="str">
        <f t="shared" si="89"/>
        <v/>
      </c>
      <c r="CQ28" s="17" t="str">
        <f t="shared" si="89"/>
        <v/>
      </c>
      <c r="CR28" s="17" t="str">
        <f t="shared" si="89"/>
        <v/>
      </c>
      <c r="CS28" s="17" t="str">
        <f t="shared" si="89"/>
        <v/>
      </c>
      <c r="CT28" s="17" t="str">
        <f t="shared" si="89"/>
        <v/>
      </c>
      <c r="CU28" s="17" t="str">
        <f t="shared" si="89"/>
        <v/>
      </c>
      <c r="CV28" s="17" t="str">
        <f t="shared" si="85"/>
        <v/>
      </c>
      <c r="CW28" s="17" t="str">
        <f t="shared" si="85"/>
        <v/>
      </c>
      <c r="CX28" s="17" t="str">
        <f t="shared" si="85"/>
        <v/>
      </c>
      <c r="CY28" s="17" t="str">
        <f t="shared" si="85"/>
        <v/>
      </c>
      <c r="CZ28" s="17" t="str">
        <f t="shared" si="85"/>
        <v/>
      </c>
      <c r="DA28" s="17" t="str">
        <f t="shared" si="85"/>
        <v/>
      </c>
      <c r="DB28" s="17" t="str">
        <f t="shared" si="85"/>
        <v/>
      </c>
      <c r="DC28" s="17" t="str">
        <f t="shared" si="85"/>
        <v/>
      </c>
      <c r="DE28" s="23">
        <f t="shared" si="90"/>
        <v>0</v>
      </c>
      <c r="DF28" s="23">
        <f t="shared" si="91"/>
        <v>0</v>
      </c>
    </row>
    <row r="29" spans="2:110" ht="15.75" x14ac:dyDescent="0.25">
      <c r="B29" s="28">
        <f t="shared" si="72"/>
        <v>21</v>
      </c>
      <c r="C29" s="55" t="s">
        <v>100</v>
      </c>
      <c r="D29" s="31">
        <v>1</v>
      </c>
      <c r="E29" s="32">
        <v>20</v>
      </c>
      <c r="F29" s="31" t="s">
        <v>60</v>
      </c>
      <c r="G29" s="33">
        <v>0</v>
      </c>
      <c r="H29" s="29">
        <f t="shared" si="73"/>
        <v>45974</v>
      </c>
      <c r="I29" s="29">
        <f t="shared" si="86"/>
        <v>45974</v>
      </c>
      <c r="J29" s="58" t="s">
        <v>127</v>
      </c>
      <c r="K29" s="31" t="s">
        <v>9</v>
      </c>
      <c r="L29" s="34"/>
      <c r="M29" s="30" t="str">
        <f t="shared" si="87"/>
        <v/>
      </c>
      <c r="O29" s="16" t="str">
        <f t="shared" si="94"/>
        <v/>
      </c>
      <c r="P29" s="17" t="str">
        <f t="shared" si="94"/>
        <v/>
      </c>
      <c r="Q29" s="17" t="str">
        <f t="shared" si="94"/>
        <v/>
      </c>
      <c r="R29" s="17" t="str">
        <f t="shared" si="94"/>
        <v/>
      </c>
      <c r="S29" s="17" t="str">
        <f t="shared" si="94"/>
        <v/>
      </c>
      <c r="T29" s="17" t="str">
        <f t="shared" si="94"/>
        <v/>
      </c>
      <c r="U29" s="17" t="str">
        <f t="shared" si="94"/>
        <v/>
      </c>
      <c r="V29" s="17" t="str">
        <f t="shared" si="94"/>
        <v/>
      </c>
      <c r="W29" s="17" t="str">
        <f t="shared" si="94"/>
        <v>x</v>
      </c>
      <c r="X29" s="17" t="str">
        <f t="shared" si="94"/>
        <v/>
      </c>
      <c r="Y29" s="17" t="str">
        <f t="shared" si="94"/>
        <v/>
      </c>
      <c r="Z29" s="17" t="str">
        <f t="shared" si="94"/>
        <v/>
      </c>
      <c r="AA29" s="17" t="str">
        <f t="shared" si="94"/>
        <v/>
      </c>
      <c r="AB29" s="17" t="str">
        <f t="shared" si="94"/>
        <v/>
      </c>
      <c r="AC29" s="17" t="str">
        <f t="shared" si="94"/>
        <v/>
      </c>
      <c r="AD29" s="17" t="str">
        <f t="shared" si="94"/>
        <v/>
      </c>
      <c r="AE29" s="17" t="str">
        <f t="shared" si="83"/>
        <v/>
      </c>
      <c r="AF29" s="17" t="str">
        <f t="shared" si="83"/>
        <v/>
      </c>
      <c r="AG29" s="17" t="str">
        <f t="shared" si="83"/>
        <v/>
      </c>
      <c r="AH29" s="17" t="str">
        <f t="shared" si="83"/>
        <v/>
      </c>
      <c r="AI29" s="17" t="str">
        <f t="shared" si="83"/>
        <v/>
      </c>
      <c r="AJ29" s="17" t="str">
        <f t="shared" si="83"/>
        <v/>
      </c>
      <c r="AK29" s="17" t="str">
        <f t="shared" si="83"/>
        <v/>
      </c>
      <c r="AL29" s="17" t="str">
        <f t="shared" si="83"/>
        <v/>
      </c>
      <c r="AM29" s="17" t="str">
        <f t="shared" si="83"/>
        <v/>
      </c>
      <c r="AN29" s="17" t="str">
        <f t="shared" si="83"/>
        <v/>
      </c>
      <c r="AO29" s="17" t="str">
        <f t="shared" si="83"/>
        <v/>
      </c>
      <c r="AP29" s="17" t="str">
        <f t="shared" si="83"/>
        <v/>
      </c>
      <c r="AQ29" s="17" t="str">
        <f t="shared" si="83"/>
        <v/>
      </c>
      <c r="AR29" s="17" t="str">
        <f t="shared" si="83"/>
        <v/>
      </c>
      <c r="AS29" s="17" t="str">
        <f t="shared" si="83"/>
        <v/>
      </c>
      <c r="AT29" s="17" t="str">
        <f t="shared" si="83"/>
        <v/>
      </c>
      <c r="AU29" s="17" t="str">
        <f t="shared" si="92"/>
        <v/>
      </c>
      <c r="AV29" s="17" t="str">
        <f t="shared" si="92"/>
        <v/>
      </c>
      <c r="AW29" s="17" t="str">
        <f t="shared" si="92"/>
        <v/>
      </c>
      <c r="AX29" s="17" t="str">
        <f t="shared" si="92"/>
        <v/>
      </c>
      <c r="AY29" s="17" t="str">
        <f t="shared" si="92"/>
        <v/>
      </c>
      <c r="AZ29" s="17" t="str">
        <f t="shared" si="92"/>
        <v/>
      </c>
      <c r="BA29" s="17" t="str">
        <f t="shared" si="92"/>
        <v/>
      </c>
      <c r="BB29" s="17" t="str">
        <f t="shared" si="92"/>
        <v/>
      </c>
      <c r="BC29" s="17" t="str">
        <f t="shared" si="92"/>
        <v/>
      </c>
      <c r="BD29" s="17" t="str">
        <f t="shared" si="92"/>
        <v/>
      </c>
      <c r="BE29" s="17" t="str">
        <f t="shared" si="92"/>
        <v/>
      </c>
      <c r="BF29" s="17" t="str">
        <f t="shared" si="92"/>
        <v/>
      </c>
      <c r="BG29" s="17" t="str">
        <f t="shared" si="92"/>
        <v/>
      </c>
      <c r="BH29" s="17" t="str">
        <f t="shared" si="92"/>
        <v/>
      </c>
      <c r="BI29" s="17" t="str">
        <f t="shared" si="92"/>
        <v/>
      </c>
      <c r="BJ29" s="17" t="str">
        <f t="shared" si="92"/>
        <v/>
      </c>
      <c r="BK29" s="17" t="str">
        <f t="shared" si="93"/>
        <v/>
      </c>
      <c r="BL29" s="17" t="str">
        <f t="shared" si="93"/>
        <v/>
      </c>
      <c r="BM29" s="17" t="str">
        <f t="shared" si="93"/>
        <v/>
      </c>
      <c r="BN29" s="17" t="str">
        <f t="shared" si="93"/>
        <v/>
      </c>
      <c r="BO29" s="17" t="str">
        <f t="shared" si="93"/>
        <v/>
      </c>
      <c r="BP29" s="17" t="str">
        <f t="shared" si="93"/>
        <v/>
      </c>
      <c r="BQ29" s="17" t="str">
        <f t="shared" si="93"/>
        <v/>
      </c>
      <c r="BR29" s="17" t="str">
        <f t="shared" si="93"/>
        <v/>
      </c>
      <c r="BS29" s="17" t="str">
        <f t="shared" si="93"/>
        <v/>
      </c>
      <c r="BT29" s="17" t="str">
        <f t="shared" si="93"/>
        <v/>
      </c>
      <c r="BU29" s="17" t="str">
        <f t="shared" si="93"/>
        <v/>
      </c>
      <c r="BV29" s="17" t="str">
        <f t="shared" si="93"/>
        <v/>
      </c>
      <c r="BW29" s="17" t="str">
        <f t="shared" si="93"/>
        <v/>
      </c>
      <c r="BX29" s="17" t="str">
        <f t="shared" si="88"/>
        <v/>
      </c>
      <c r="BY29" s="17" t="str">
        <f t="shared" si="88"/>
        <v/>
      </c>
      <c r="BZ29" s="17" t="str">
        <f t="shared" si="88"/>
        <v/>
      </c>
      <c r="CA29" s="17" t="str">
        <f t="shared" si="88"/>
        <v/>
      </c>
      <c r="CB29" s="17" t="str">
        <f t="shared" si="88"/>
        <v/>
      </c>
      <c r="CC29" s="17" t="str">
        <f t="shared" si="88"/>
        <v/>
      </c>
      <c r="CD29" s="17" t="str">
        <f t="shared" si="88"/>
        <v/>
      </c>
      <c r="CE29" s="17" t="str">
        <f t="shared" si="88"/>
        <v/>
      </c>
      <c r="CF29" s="17" t="str">
        <f t="shared" si="88"/>
        <v/>
      </c>
      <c r="CG29" s="17" t="str">
        <f t="shared" si="88"/>
        <v/>
      </c>
      <c r="CH29" s="17" t="str">
        <f t="shared" si="88"/>
        <v/>
      </c>
      <c r="CI29" s="17" t="str">
        <f t="shared" si="89"/>
        <v/>
      </c>
      <c r="CJ29" s="17" t="str">
        <f t="shared" si="89"/>
        <v/>
      </c>
      <c r="CK29" s="17" t="str">
        <f t="shared" si="89"/>
        <v/>
      </c>
      <c r="CL29" s="17" t="str">
        <f t="shared" si="89"/>
        <v/>
      </c>
      <c r="CM29" s="17" t="str">
        <f t="shared" si="89"/>
        <v/>
      </c>
      <c r="CN29" s="17" t="str">
        <f t="shared" si="89"/>
        <v/>
      </c>
      <c r="CO29" s="17" t="str">
        <f t="shared" si="89"/>
        <v/>
      </c>
      <c r="CP29" s="17" t="str">
        <f t="shared" si="89"/>
        <v/>
      </c>
      <c r="CQ29" s="17" t="str">
        <f t="shared" si="89"/>
        <v/>
      </c>
      <c r="CR29" s="17" t="str">
        <f t="shared" si="89"/>
        <v/>
      </c>
      <c r="CS29" s="17" t="str">
        <f t="shared" si="89"/>
        <v/>
      </c>
      <c r="CT29" s="17" t="str">
        <f t="shared" si="89"/>
        <v/>
      </c>
      <c r="CU29" s="17" t="str">
        <f t="shared" si="89"/>
        <v/>
      </c>
      <c r="CV29" s="17" t="str">
        <f t="shared" si="85"/>
        <v/>
      </c>
      <c r="CW29" s="17" t="str">
        <f t="shared" si="85"/>
        <v/>
      </c>
      <c r="CX29" s="17" t="str">
        <f t="shared" si="85"/>
        <v/>
      </c>
      <c r="CY29" s="17" t="str">
        <f t="shared" si="85"/>
        <v/>
      </c>
      <c r="CZ29" s="17" t="str">
        <f t="shared" si="85"/>
        <v/>
      </c>
      <c r="DA29" s="17" t="str">
        <f t="shared" si="85"/>
        <v/>
      </c>
      <c r="DB29" s="17" t="str">
        <f t="shared" si="85"/>
        <v/>
      </c>
      <c r="DC29" s="17" t="str">
        <f t="shared" si="85"/>
        <v/>
      </c>
      <c r="DE29" s="23">
        <f t="shared" si="90"/>
        <v>0</v>
      </c>
      <c r="DF29" s="23">
        <f t="shared" si="91"/>
        <v>0</v>
      </c>
    </row>
    <row r="30" spans="2:110" ht="15.75" x14ac:dyDescent="0.25">
      <c r="B30" s="28">
        <f t="shared" ref="B30:B61" si="95">IF(C30="","",B29+1)</f>
        <v>22</v>
      </c>
      <c r="C30" s="55" t="s">
        <v>101</v>
      </c>
      <c r="D30" s="31">
        <v>1</v>
      </c>
      <c r="E30" s="32">
        <v>21</v>
      </c>
      <c r="F30" s="31" t="s">
        <v>60</v>
      </c>
      <c r="G30" s="33">
        <v>1</v>
      </c>
      <c r="H30" s="29">
        <f t="shared" si="73"/>
        <v>45975</v>
      </c>
      <c r="I30" s="29">
        <f t="shared" si="86"/>
        <v>45975</v>
      </c>
      <c r="J30" s="58" t="s">
        <v>127</v>
      </c>
      <c r="K30" s="31" t="s">
        <v>9</v>
      </c>
      <c r="L30" s="34"/>
      <c r="M30" s="30" t="str">
        <f t="shared" si="87"/>
        <v/>
      </c>
      <c r="O30" s="16" t="str">
        <f t="shared" si="94"/>
        <v/>
      </c>
      <c r="P30" s="17" t="str">
        <f t="shared" si="94"/>
        <v/>
      </c>
      <c r="Q30" s="17" t="str">
        <f t="shared" si="94"/>
        <v/>
      </c>
      <c r="R30" s="17" t="str">
        <f t="shared" si="94"/>
        <v/>
      </c>
      <c r="S30" s="17" t="str">
        <f t="shared" si="94"/>
        <v/>
      </c>
      <c r="T30" s="17" t="str">
        <f t="shared" si="94"/>
        <v/>
      </c>
      <c r="U30" s="17" t="str">
        <f t="shared" si="94"/>
        <v/>
      </c>
      <c r="V30" s="17" t="str">
        <f t="shared" si="94"/>
        <v/>
      </c>
      <c r="W30" s="17" t="str">
        <f t="shared" si="94"/>
        <v/>
      </c>
      <c r="X30" s="17" t="str">
        <f t="shared" si="94"/>
        <v>x</v>
      </c>
      <c r="Y30" s="17" t="str">
        <f t="shared" si="94"/>
        <v/>
      </c>
      <c r="Z30" s="17" t="str">
        <f t="shared" si="94"/>
        <v/>
      </c>
      <c r="AA30" s="17" t="str">
        <f t="shared" si="94"/>
        <v/>
      </c>
      <c r="AB30" s="17" t="str">
        <f t="shared" si="94"/>
        <v/>
      </c>
      <c r="AC30" s="17" t="str">
        <f t="shared" si="94"/>
        <v/>
      </c>
      <c r="AD30" s="17" t="str">
        <f t="shared" si="94"/>
        <v/>
      </c>
      <c r="AE30" s="17" t="str">
        <f t="shared" si="83"/>
        <v/>
      </c>
      <c r="AF30" s="17" t="str">
        <f t="shared" si="83"/>
        <v/>
      </c>
      <c r="AG30" s="17" t="str">
        <f t="shared" si="83"/>
        <v/>
      </c>
      <c r="AH30" s="17" t="str">
        <f t="shared" si="83"/>
        <v/>
      </c>
      <c r="AI30" s="17" t="str">
        <f t="shared" si="83"/>
        <v/>
      </c>
      <c r="AJ30" s="17" t="str">
        <f t="shared" si="83"/>
        <v/>
      </c>
      <c r="AK30" s="17" t="str">
        <f t="shared" si="83"/>
        <v/>
      </c>
      <c r="AL30" s="17" t="str">
        <f t="shared" si="83"/>
        <v/>
      </c>
      <c r="AM30" s="17" t="str">
        <f t="shared" si="83"/>
        <v/>
      </c>
      <c r="AN30" s="17" t="str">
        <f t="shared" si="83"/>
        <v/>
      </c>
      <c r="AO30" s="17" t="str">
        <f t="shared" si="83"/>
        <v/>
      </c>
      <c r="AP30" s="17" t="str">
        <f t="shared" si="83"/>
        <v/>
      </c>
      <c r="AQ30" s="17" t="str">
        <f t="shared" si="83"/>
        <v/>
      </c>
      <c r="AR30" s="17" t="str">
        <f t="shared" si="83"/>
        <v/>
      </c>
      <c r="AS30" s="17" t="str">
        <f t="shared" si="83"/>
        <v/>
      </c>
      <c r="AT30" s="17" t="str">
        <f t="shared" si="83"/>
        <v/>
      </c>
      <c r="AU30" s="17" t="str">
        <f t="shared" si="92"/>
        <v/>
      </c>
      <c r="AV30" s="17" t="str">
        <f t="shared" si="92"/>
        <v/>
      </c>
      <c r="AW30" s="17" t="str">
        <f t="shared" si="92"/>
        <v/>
      </c>
      <c r="AX30" s="17" t="str">
        <f t="shared" si="92"/>
        <v/>
      </c>
      <c r="AY30" s="17" t="str">
        <f t="shared" si="92"/>
        <v/>
      </c>
      <c r="AZ30" s="17" t="str">
        <f t="shared" si="92"/>
        <v/>
      </c>
      <c r="BA30" s="17" t="str">
        <f t="shared" si="92"/>
        <v/>
      </c>
      <c r="BB30" s="17" t="str">
        <f t="shared" si="92"/>
        <v/>
      </c>
      <c r="BC30" s="17" t="str">
        <f t="shared" si="92"/>
        <v/>
      </c>
      <c r="BD30" s="17" t="str">
        <f t="shared" si="92"/>
        <v/>
      </c>
      <c r="BE30" s="17" t="str">
        <f t="shared" si="92"/>
        <v/>
      </c>
      <c r="BF30" s="17" t="str">
        <f t="shared" si="92"/>
        <v/>
      </c>
      <c r="BG30" s="17" t="str">
        <f t="shared" si="92"/>
        <v/>
      </c>
      <c r="BH30" s="17" t="str">
        <f t="shared" si="92"/>
        <v/>
      </c>
      <c r="BI30" s="17" t="str">
        <f t="shared" si="92"/>
        <v/>
      </c>
      <c r="BJ30" s="17" t="str">
        <f t="shared" si="92"/>
        <v/>
      </c>
      <c r="BK30" s="17" t="str">
        <f t="shared" si="93"/>
        <v/>
      </c>
      <c r="BL30" s="17" t="str">
        <f t="shared" si="93"/>
        <v/>
      </c>
      <c r="BM30" s="17" t="str">
        <f t="shared" si="93"/>
        <v/>
      </c>
      <c r="BN30" s="17" t="str">
        <f t="shared" si="93"/>
        <v/>
      </c>
      <c r="BO30" s="17" t="str">
        <f t="shared" si="93"/>
        <v/>
      </c>
      <c r="BP30" s="17" t="str">
        <f t="shared" si="93"/>
        <v/>
      </c>
      <c r="BQ30" s="17" t="str">
        <f t="shared" si="93"/>
        <v/>
      </c>
      <c r="BR30" s="17" t="str">
        <f t="shared" si="93"/>
        <v/>
      </c>
      <c r="BS30" s="17" t="str">
        <f t="shared" si="93"/>
        <v/>
      </c>
      <c r="BT30" s="17" t="str">
        <f t="shared" si="93"/>
        <v/>
      </c>
      <c r="BU30" s="17" t="str">
        <f t="shared" si="93"/>
        <v/>
      </c>
      <c r="BV30" s="17" t="str">
        <f t="shared" si="93"/>
        <v/>
      </c>
      <c r="BW30" s="17" t="str">
        <f t="shared" si="93"/>
        <v/>
      </c>
      <c r="BX30" s="17" t="str">
        <f t="shared" si="88"/>
        <v/>
      </c>
      <c r="BY30" s="17" t="str">
        <f t="shared" si="88"/>
        <v/>
      </c>
      <c r="BZ30" s="17" t="str">
        <f t="shared" si="88"/>
        <v/>
      </c>
      <c r="CA30" s="17" t="str">
        <f t="shared" si="88"/>
        <v/>
      </c>
      <c r="CB30" s="17" t="str">
        <f t="shared" si="88"/>
        <v/>
      </c>
      <c r="CC30" s="17" t="str">
        <f t="shared" si="88"/>
        <v/>
      </c>
      <c r="CD30" s="17" t="str">
        <f t="shared" si="88"/>
        <v/>
      </c>
      <c r="CE30" s="17" t="str">
        <f t="shared" si="88"/>
        <v/>
      </c>
      <c r="CF30" s="17" t="str">
        <f t="shared" si="88"/>
        <v/>
      </c>
      <c r="CG30" s="17" t="str">
        <f t="shared" si="88"/>
        <v/>
      </c>
      <c r="CH30" s="17" t="str">
        <f t="shared" si="88"/>
        <v/>
      </c>
      <c r="CI30" s="17" t="str">
        <f t="shared" si="89"/>
        <v/>
      </c>
      <c r="CJ30" s="17" t="str">
        <f t="shared" si="89"/>
        <v/>
      </c>
      <c r="CK30" s="17" t="str">
        <f t="shared" si="89"/>
        <v/>
      </c>
      <c r="CL30" s="17" t="str">
        <f t="shared" si="89"/>
        <v/>
      </c>
      <c r="CM30" s="17" t="str">
        <f t="shared" si="89"/>
        <v/>
      </c>
      <c r="CN30" s="17" t="str">
        <f t="shared" si="89"/>
        <v/>
      </c>
      <c r="CO30" s="17" t="str">
        <f t="shared" si="89"/>
        <v/>
      </c>
      <c r="CP30" s="17" t="str">
        <f t="shared" si="89"/>
        <v/>
      </c>
      <c r="CQ30" s="17" t="str">
        <f t="shared" si="89"/>
        <v/>
      </c>
      <c r="CR30" s="17" t="str">
        <f t="shared" si="89"/>
        <v/>
      </c>
      <c r="CS30" s="17" t="str">
        <f t="shared" si="89"/>
        <v/>
      </c>
      <c r="CT30" s="17" t="str">
        <f t="shared" si="89"/>
        <v/>
      </c>
      <c r="CU30" s="17" t="str">
        <f t="shared" si="89"/>
        <v/>
      </c>
      <c r="CV30" s="17" t="str">
        <f t="shared" si="85"/>
        <v/>
      </c>
      <c r="CW30" s="17" t="str">
        <f t="shared" si="85"/>
        <v/>
      </c>
      <c r="CX30" s="17" t="str">
        <f t="shared" si="85"/>
        <v/>
      </c>
      <c r="CY30" s="17" t="str">
        <f t="shared" si="85"/>
        <v/>
      </c>
      <c r="CZ30" s="17" t="str">
        <f t="shared" si="85"/>
        <v/>
      </c>
      <c r="DA30" s="17" t="str">
        <f t="shared" si="85"/>
        <v/>
      </c>
      <c r="DB30" s="17" t="str">
        <f t="shared" si="85"/>
        <v/>
      </c>
      <c r="DC30" s="17" t="str">
        <f t="shared" si="85"/>
        <v/>
      </c>
      <c r="DE30" s="23">
        <f t="shared" si="90"/>
        <v>0</v>
      </c>
      <c r="DF30" s="23">
        <f t="shared" si="91"/>
        <v>0</v>
      </c>
    </row>
    <row r="31" spans="2:110" ht="15.75" x14ac:dyDescent="0.25">
      <c r="B31" s="28">
        <f t="shared" si="95"/>
        <v>23</v>
      </c>
      <c r="C31" s="55" t="s">
        <v>102</v>
      </c>
      <c r="D31" s="31">
        <v>1</v>
      </c>
      <c r="E31" s="32">
        <v>22</v>
      </c>
      <c r="F31" s="31" t="s">
        <v>60</v>
      </c>
      <c r="G31" s="33">
        <v>0</v>
      </c>
      <c r="H31" s="29">
        <f t="shared" si="73"/>
        <v>45975</v>
      </c>
      <c r="I31" s="29">
        <f t="shared" si="86"/>
        <v>45975</v>
      </c>
      <c r="J31" s="58" t="s">
        <v>127</v>
      </c>
      <c r="K31" s="31" t="s">
        <v>9</v>
      </c>
      <c r="L31" s="34"/>
      <c r="M31" s="30" t="str">
        <f t="shared" si="87"/>
        <v/>
      </c>
      <c r="O31" s="16" t="str">
        <f t="shared" si="94"/>
        <v/>
      </c>
      <c r="P31" s="17" t="str">
        <f t="shared" si="94"/>
        <v/>
      </c>
      <c r="Q31" s="17" t="str">
        <f t="shared" si="94"/>
        <v/>
      </c>
      <c r="R31" s="17" t="str">
        <f t="shared" si="94"/>
        <v/>
      </c>
      <c r="S31" s="17" t="str">
        <f t="shared" si="94"/>
        <v/>
      </c>
      <c r="T31" s="17" t="str">
        <f t="shared" si="94"/>
        <v/>
      </c>
      <c r="U31" s="17" t="str">
        <f t="shared" si="94"/>
        <v/>
      </c>
      <c r="V31" s="17" t="str">
        <f t="shared" si="94"/>
        <v/>
      </c>
      <c r="W31" s="17" t="str">
        <f t="shared" si="94"/>
        <v/>
      </c>
      <c r="X31" s="17" t="str">
        <f t="shared" si="94"/>
        <v>x</v>
      </c>
      <c r="Y31" s="17" t="str">
        <f t="shared" si="94"/>
        <v/>
      </c>
      <c r="Z31" s="17" t="str">
        <f t="shared" si="94"/>
        <v/>
      </c>
      <c r="AA31" s="17" t="str">
        <f t="shared" si="94"/>
        <v/>
      </c>
      <c r="AB31" s="17" t="str">
        <f t="shared" si="94"/>
        <v/>
      </c>
      <c r="AC31" s="17" t="str">
        <f t="shared" si="94"/>
        <v/>
      </c>
      <c r="AD31" s="17" t="str">
        <f t="shared" si="94"/>
        <v/>
      </c>
      <c r="AE31" s="17" t="str">
        <f t="shared" si="83"/>
        <v/>
      </c>
      <c r="AF31" s="17" t="str">
        <f t="shared" si="83"/>
        <v/>
      </c>
      <c r="AG31" s="17" t="str">
        <f t="shared" si="83"/>
        <v/>
      </c>
      <c r="AH31" s="17" t="str">
        <f t="shared" si="83"/>
        <v/>
      </c>
      <c r="AI31" s="17" t="str">
        <f t="shared" si="83"/>
        <v/>
      </c>
      <c r="AJ31" s="17" t="str">
        <f t="shared" si="83"/>
        <v/>
      </c>
      <c r="AK31" s="17" t="str">
        <f t="shared" si="83"/>
        <v/>
      </c>
      <c r="AL31" s="17" t="str">
        <f t="shared" si="83"/>
        <v/>
      </c>
      <c r="AM31" s="17" t="str">
        <f t="shared" si="83"/>
        <v/>
      </c>
      <c r="AN31" s="17" t="str">
        <f t="shared" si="83"/>
        <v/>
      </c>
      <c r="AO31" s="17" t="str">
        <f t="shared" si="83"/>
        <v/>
      </c>
      <c r="AP31" s="17" t="str">
        <f t="shared" si="83"/>
        <v/>
      </c>
      <c r="AQ31" s="17" t="str">
        <f t="shared" si="83"/>
        <v/>
      </c>
      <c r="AR31" s="17" t="str">
        <f t="shared" si="83"/>
        <v/>
      </c>
      <c r="AS31" s="17" t="str">
        <f t="shared" si="83"/>
        <v/>
      </c>
      <c r="AT31" s="17" t="str">
        <f t="shared" si="83"/>
        <v/>
      </c>
      <c r="AU31" s="17" t="str">
        <f t="shared" si="92"/>
        <v/>
      </c>
      <c r="AV31" s="17" t="str">
        <f t="shared" si="92"/>
        <v/>
      </c>
      <c r="AW31" s="17" t="str">
        <f t="shared" si="92"/>
        <v/>
      </c>
      <c r="AX31" s="17" t="str">
        <f t="shared" si="92"/>
        <v/>
      </c>
      <c r="AY31" s="17" t="str">
        <f t="shared" si="92"/>
        <v/>
      </c>
      <c r="AZ31" s="17" t="str">
        <f t="shared" si="92"/>
        <v/>
      </c>
      <c r="BA31" s="17" t="str">
        <f t="shared" si="92"/>
        <v/>
      </c>
      <c r="BB31" s="17" t="str">
        <f t="shared" si="92"/>
        <v/>
      </c>
      <c r="BC31" s="17" t="str">
        <f t="shared" si="92"/>
        <v/>
      </c>
      <c r="BD31" s="17" t="str">
        <f t="shared" si="92"/>
        <v/>
      </c>
      <c r="BE31" s="17" t="str">
        <f t="shared" si="92"/>
        <v/>
      </c>
      <c r="BF31" s="17" t="str">
        <f t="shared" si="92"/>
        <v/>
      </c>
      <c r="BG31" s="17" t="str">
        <f t="shared" si="92"/>
        <v/>
      </c>
      <c r="BH31" s="17" t="str">
        <f t="shared" si="92"/>
        <v/>
      </c>
      <c r="BI31" s="17" t="str">
        <f t="shared" si="92"/>
        <v/>
      </c>
      <c r="BJ31" s="17" t="str">
        <f t="shared" si="92"/>
        <v/>
      </c>
      <c r="BK31" s="17" t="str">
        <f t="shared" si="93"/>
        <v/>
      </c>
      <c r="BL31" s="17" t="str">
        <f t="shared" si="93"/>
        <v/>
      </c>
      <c r="BM31" s="17" t="str">
        <f t="shared" si="93"/>
        <v/>
      </c>
      <c r="BN31" s="17" t="str">
        <f t="shared" si="93"/>
        <v/>
      </c>
      <c r="BO31" s="17" t="str">
        <f t="shared" si="93"/>
        <v/>
      </c>
      <c r="BP31" s="17" t="str">
        <f t="shared" si="93"/>
        <v/>
      </c>
      <c r="BQ31" s="17" t="str">
        <f t="shared" si="93"/>
        <v/>
      </c>
      <c r="BR31" s="17" t="str">
        <f t="shared" si="93"/>
        <v/>
      </c>
      <c r="BS31" s="17" t="str">
        <f t="shared" si="93"/>
        <v/>
      </c>
      <c r="BT31" s="17" t="str">
        <f t="shared" si="93"/>
        <v/>
      </c>
      <c r="BU31" s="17" t="str">
        <f t="shared" si="93"/>
        <v/>
      </c>
      <c r="BV31" s="17" t="str">
        <f t="shared" si="93"/>
        <v/>
      </c>
      <c r="BW31" s="17" t="str">
        <f t="shared" si="93"/>
        <v/>
      </c>
      <c r="BX31" s="17" t="str">
        <f t="shared" si="88"/>
        <v/>
      </c>
      <c r="BY31" s="17" t="str">
        <f t="shared" si="88"/>
        <v/>
      </c>
      <c r="BZ31" s="17" t="str">
        <f t="shared" si="88"/>
        <v/>
      </c>
      <c r="CA31" s="17" t="str">
        <f t="shared" si="88"/>
        <v/>
      </c>
      <c r="CB31" s="17" t="str">
        <f t="shared" si="88"/>
        <v/>
      </c>
      <c r="CC31" s="17" t="str">
        <f t="shared" si="88"/>
        <v/>
      </c>
      <c r="CD31" s="17" t="str">
        <f t="shared" si="88"/>
        <v/>
      </c>
      <c r="CE31" s="17" t="str">
        <f t="shared" si="88"/>
        <v/>
      </c>
      <c r="CF31" s="17" t="str">
        <f t="shared" si="88"/>
        <v/>
      </c>
      <c r="CG31" s="17" t="str">
        <f t="shared" si="88"/>
        <v/>
      </c>
      <c r="CH31" s="17" t="str">
        <f t="shared" si="88"/>
        <v/>
      </c>
      <c r="CI31" s="17" t="str">
        <f t="shared" si="89"/>
        <v/>
      </c>
      <c r="CJ31" s="17" t="str">
        <f t="shared" si="89"/>
        <v/>
      </c>
      <c r="CK31" s="17" t="str">
        <f t="shared" si="89"/>
        <v/>
      </c>
      <c r="CL31" s="17" t="str">
        <f t="shared" si="89"/>
        <v/>
      </c>
      <c r="CM31" s="17" t="str">
        <f t="shared" si="89"/>
        <v/>
      </c>
      <c r="CN31" s="17" t="str">
        <f t="shared" si="89"/>
        <v/>
      </c>
      <c r="CO31" s="17" t="str">
        <f t="shared" si="89"/>
        <v/>
      </c>
      <c r="CP31" s="17" t="str">
        <f t="shared" si="89"/>
        <v/>
      </c>
      <c r="CQ31" s="17" t="str">
        <f t="shared" si="89"/>
        <v/>
      </c>
      <c r="CR31" s="17" t="str">
        <f t="shared" si="89"/>
        <v/>
      </c>
      <c r="CS31" s="17" t="str">
        <f t="shared" si="89"/>
        <v/>
      </c>
      <c r="CT31" s="17" t="str">
        <f t="shared" si="89"/>
        <v/>
      </c>
      <c r="CU31" s="17" t="str">
        <f t="shared" si="89"/>
        <v/>
      </c>
      <c r="CV31" s="17" t="str">
        <f t="shared" si="85"/>
        <v/>
      </c>
      <c r="CW31" s="17" t="str">
        <f t="shared" si="85"/>
        <v/>
      </c>
      <c r="CX31" s="17" t="str">
        <f t="shared" si="85"/>
        <v/>
      </c>
      <c r="CY31" s="17" t="str">
        <f t="shared" si="85"/>
        <v/>
      </c>
      <c r="CZ31" s="17" t="str">
        <f t="shared" si="85"/>
        <v/>
      </c>
      <c r="DA31" s="17" t="str">
        <f t="shared" si="85"/>
        <v/>
      </c>
      <c r="DB31" s="17" t="str">
        <f t="shared" si="85"/>
        <v/>
      </c>
      <c r="DC31" s="17" t="str">
        <f t="shared" si="85"/>
        <v/>
      </c>
      <c r="DE31" s="23">
        <f t="shared" si="90"/>
        <v>0</v>
      </c>
      <c r="DF31" s="23">
        <f t="shared" si="91"/>
        <v>0</v>
      </c>
    </row>
    <row r="32" spans="2:110" ht="15.75" x14ac:dyDescent="0.25">
      <c r="B32" s="28">
        <f t="shared" si="95"/>
        <v>24</v>
      </c>
      <c r="C32" s="56" t="s">
        <v>80</v>
      </c>
      <c r="D32" s="31">
        <v>3</v>
      </c>
      <c r="E32" s="32">
        <v>15</v>
      </c>
      <c r="F32" s="31" t="s">
        <v>60</v>
      </c>
      <c r="G32" s="33">
        <v>1</v>
      </c>
      <c r="H32" s="29">
        <f t="shared" si="73"/>
        <v>45976</v>
      </c>
      <c r="I32" s="29">
        <f t="shared" si="86"/>
        <v>45978</v>
      </c>
      <c r="J32" s="58" t="s">
        <v>127</v>
      </c>
      <c r="K32" s="31" t="s">
        <v>9</v>
      </c>
      <c r="L32" s="34"/>
      <c r="M32" s="30" t="str">
        <f t="shared" si="87"/>
        <v/>
      </c>
      <c r="O32" s="16" t="str">
        <f t="shared" si="94"/>
        <v/>
      </c>
      <c r="P32" s="17" t="str">
        <f t="shared" si="94"/>
        <v/>
      </c>
      <c r="Q32" s="17" t="str">
        <f t="shared" si="94"/>
        <v/>
      </c>
      <c r="R32" s="17" t="str">
        <f t="shared" si="94"/>
        <v/>
      </c>
      <c r="S32" s="17" t="str">
        <f t="shared" si="94"/>
        <v/>
      </c>
      <c r="T32" s="17" t="str">
        <f t="shared" si="94"/>
        <v/>
      </c>
      <c r="U32" s="17" t="str">
        <f t="shared" si="94"/>
        <v/>
      </c>
      <c r="V32" s="17" t="str">
        <f t="shared" si="94"/>
        <v/>
      </c>
      <c r="W32" s="17" t="str">
        <f t="shared" si="94"/>
        <v/>
      </c>
      <c r="X32" s="17" t="str">
        <f t="shared" si="94"/>
        <v/>
      </c>
      <c r="Y32" s="17" t="str">
        <f t="shared" si="94"/>
        <v>x</v>
      </c>
      <c r="Z32" s="17" t="str">
        <f t="shared" si="94"/>
        <v>x</v>
      </c>
      <c r="AA32" s="17" t="str">
        <f t="shared" si="94"/>
        <v>x</v>
      </c>
      <c r="AB32" s="17" t="str">
        <f t="shared" si="94"/>
        <v/>
      </c>
      <c r="AC32" s="17" t="str">
        <f t="shared" si="94"/>
        <v/>
      </c>
      <c r="AD32" s="17" t="str">
        <f t="shared" si="94"/>
        <v/>
      </c>
      <c r="AE32" s="17" t="str">
        <f t="shared" si="83"/>
        <v/>
      </c>
      <c r="AF32" s="17" t="str">
        <f t="shared" si="83"/>
        <v/>
      </c>
      <c r="AG32" s="17" t="str">
        <f t="shared" si="83"/>
        <v/>
      </c>
      <c r="AH32" s="17" t="str">
        <f t="shared" si="83"/>
        <v/>
      </c>
      <c r="AI32" s="17" t="str">
        <f t="shared" si="83"/>
        <v/>
      </c>
      <c r="AJ32" s="17" t="str">
        <f t="shared" si="83"/>
        <v/>
      </c>
      <c r="AK32" s="17" t="str">
        <f t="shared" si="83"/>
        <v/>
      </c>
      <c r="AL32" s="17" t="str">
        <f t="shared" si="83"/>
        <v/>
      </c>
      <c r="AM32" s="17" t="str">
        <f t="shared" si="83"/>
        <v/>
      </c>
      <c r="AN32" s="17" t="str">
        <f t="shared" si="83"/>
        <v/>
      </c>
      <c r="AO32" s="17" t="str">
        <f t="shared" si="83"/>
        <v/>
      </c>
      <c r="AP32" s="17" t="str">
        <f t="shared" si="83"/>
        <v/>
      </c>
      <c r="AQ32" s="17" t="str">
        <f t="shared" si="83"/>
        <v/>
      </c>
      <c r="AR32" s="17" t="str">
        <f t="shared" si="83"/>
        <v/>
      </c>
      <c r="AS32" s="17" t="str">
        <f t="shared" si="83"/>
        <v/>
      </c>
      <c r="AT32" s="17" t="str">
        <f t="shared" si="83"/>
        <v/>
      </c>
      <c r="AU32" s="17" t="str">
        <f t="shared" si="92"/>
        <v/>
      </c>
      <c r="AV32" s="17" t="str">
        <f t="shared" si="92"/>
        <v/>
      </c>
      <c r="AW32" s="17" t="str">
        <f t="shared" si="92"/>
        <v/>
      </c>
      <c r="AX32" s="17" t="str">
        <f t="shared" si="92"/>
        <v/>
      </c>
      <c r="AY32" s="17" t="str">
        <f t="shared" si="92"/>
        <v/>
      </c>
      <c r="AZ32" s="17" t="str">
        <f t="shared" si="92"/>
        <v/>
      </c>
      <c r="BA32" s="17" t="str">
        <f t="shared" si="92"/>
        <v/>
      </c>
      <c r="BB32" s="17" t="str">
        <f t="shared" si="92"/>
        <v/>
      </c>
      <c r="BC32" s="17" t="str">
        <f t="shared" si="92"/>
        <v/>
      </c>
      <c r="BD32" s="17" t="str">
        <f t="shared" si="92"/>
        <v/>
      </c>
      <c r="BE32" s="17" t="str">
        <f t="shared" si="92"/>
        <v/>
      </c>
      <c r="BF32" s="17" t="str">
        <f t="shared" si="92"/>
        <v/>
      </c>
      <c r="BG32" s="17" t="str">
        <f t="shared" si="92"/>
        <v/>
      </c>
      <c r="BH32" s="17" t="str">
        <f t="shared" si="92"/>
        <v/>
      </c>
      <c r="BI32" s="17" t="str">
        <f t="shared" si="92"/>
        <v/>
      </c>
      <c r="BJ32" s="17" t="str">
        <f t="shared" si="92"/>
        <v/>
      </c>
      <c r="BK32" s="17" t="str">
        <f t="shared" si="93"/>
        <v/>
      </c>
      <c r="BL32" s="17" t="str">
        <f t="shared" si="93"/>
        <v/>
      </c>
      <c r="BM32" s="17" t="str">
        <f t="shared" si="93"/>
        <v/>
      </c>
      <c r="BN32" s="17" t="str">
        <f t="shared" si="93"/>
        <v/>
      </c>
      <c r="BO32" s="17" t="str">
        <f t="shared" si="93"/>
        <v/>
      </c>
      <c r="BP32" s="17" t="str">
        <f t="shared" si="93"/>
        <v/>
      </c>
      <c r="BQ32" s="17" t="str">
        <f t="shared" si="93"/>
        <v/>
      </c>
      <c r="BR32" s="17" t="str">
        <f t="shared" si="93"/>
        <v/>
      </c>
      <c r="BS32" s="17" t="str">
        <f t="shared" si="93"/>
        <v/>
      </c>
      <c r="BT32" s="17" t="str">
        <f t="shared" si="93"/>
        <v/>
      </c>
      <c r="BU32" s="17" t="str">
        <f t="shared" si="93"/>
        <v/>
      </c>
      <c r="BV32" s="17" t="str">
        <f t="shared" si="93"/>
        <v/>
      </c>
      <c r="BW32" s="17" t="str">
        <f t="shared" si="93"/>
        <v/>
      </c>
      <c r="BX32" s="17" t="str">
        <f t="shared" si="88"/>
        <v/>
      </c>
      <c r="BY32" s="17" t="str">
        <f t="shared" si="88"/>
        <v/>
      </c>
      <c r="BZ32" s="17" t="str">
        <f t="shared" si="88"/>
        <v/>
      </c>
      <c r="CA32" s="17" t="str">
        <f t="shared" si="88"/>
        <v/>
      </c>
      <c r="CB32" s="17" t="str">
        <f t="shared" si="88"/>
        <v/>
      </c>
      <c r="CC32" s="17" t="str">
        <f t="shared" si="88"/>
        <v/>
      </c>
      <c r="CD32" s="17" t="str">
        <f t="shared" si="88"/>
        <v/>
      </c>
      <c r="CE32" s="17" t="str">
        <f t="shared" si="88"/>
        <v/>
      </c>
      <c r="CF32" s="17" t="str">
        <f t="shared" si="88"/>
        <v/>
      </c>
      <c r="CG32" s="17" t="str">
        <f t="shared" si="88"/>
        <v/>
      </c>
      <c r="CH32" s="17" t="str">
        <f t="shared" si="88"/>
        <v/>
      </c>
      <c r="CI32" s="17" t="str">
        <f t="shared" si="89"/>
        <v/>
      </c>
      <c r="CJ32" s="17" t="str">
        <f t="shared" si="89"/>
        <v/>
      </c>
      <c r="CK32" s="17" t="str">
        <f t="shared" si="89"/>
        <v/>
      </c>
      <c r="CL32" s="17" t="str">
        <f t="shared" si="89"/>
        <v/>
      </c>
      <c r="CM32" s="17" t="str">
        <f t="shared" si="89"/>
        <v/>
      </c>
      <c r="CN32" s="17" t="str">
        <f t="shared" si="89"/>
        <v/>
      </c>
      <c r="CO32" s="17" t="str">
        <f t="shared" si="89"/>
        <v/>
      </c>
      <c r="CP32" s="17" t="str">
        <f t="shared" si="89"/>
        <v/>
      </c>
      <c r="CQ32" s="17" t="str">
        <f t="shared" si="89"/>
        <v/>
      </c>
      <c r="CR32" s="17" t="str">
        <f t="shared" si="89"/>
        <v/>
      </c>
      <c r="CS32" s="17" t="str">
        <f t="shared" si="89"/>
        <v/>
      </c>
      <c r="CT32" s="17" t="str">
        <f t="shared" si="89"/>
        <v/>
      </c>
      <c r="CU32" s="17" t="str">
        <f t="shared" si="89"/>
        <v/>
      </c>
      <c r="CV32" s="17" t="str">
        <f t="shared" si="85"/>
        <v/>
      </c>
      <c r="CW32" s="17" t="str">
        <f t="shared" si="85"/>
        <v/>
      </c>
      <c r="CX32" s="17" t="str">
        <f t="shared" si="85"/>
        <v/>
      </c>
      <c r="CY32" s="17" t="str">
        <f t="shared" si="85"/>
        <v/>
      </c>
      <c r="CZ32" s="17" t="str">
        <f t="shared" si="85"/>
        <v/>
      </c>
      <c r="DA32" s="17" t="str">
        <f t="shared" si="85"/>
        <v/>
      </c>
      <c r="DB32" s="17" t="str">
        <f t="shared" si="85"/>
        <v/>
      </c>
      <c r="DC32" s="17" t="str">
        <f t="shared" si="85"/>
        <v/>
      </c>
      <c r="DE32" s="23">
        <f t="shared" si="90"/>
        <v>0</v>
      </c>
      <c r="DF32" s="23">
        <f t="shared" si="91"/>
        <v>0</v>
      </c>
    </row>
    <row r="33" spans="2:110" ht="15.75" x14ac:dyDescent="0.25">
      <c r="B33" s="28">
        <f t="shared" si="95"/>
        <v>25</v>
      </c>
      <c r="C33" s="55" t="s">
        <v>103</v>
      </c>
      <c r="D33" s="31">
        <v>2</v>
      </c>
      <c r="E33" s="32">
        <v>24</v>
      </c>
      <c r="F33" s="31" t="s">
        <v>71</v>
      </c>
      <c r="G33" s="33">
        <v>0</v>
      </c>
      <c r="H33" s="29">
        <f t="shared" si="73"/>
        <v>45976</v>
      </c>
      <c r="I33" s="29">
        <f t="shared" si="86"/>
        <v>45977</v>
      </c>
      <c r="J33" s="58" t="s">
        <v>127</v>
      </c>
      <c r="K33" s="31" t="s">
        <v>9</v>
      </c>
      <c r="L33" s="34"/>
      <c r="M33" s="30" t="str">
        <f t="shared" si="87"/>
        <v/>
      </c>
      <c r="O33" s="16" t="str">
        <f t="shared" si="94"/>
        <v/>
      </c>
      <c r="P33" s="17" t="str">
        <f t="shared" si="94"/>
        <v/>
      </c>
      <c r="Q33" s="17" t="str">
        <f t="shared" si="94"/>
        <v/>
      </c>
      <c r="R33" s="17" t="str">
        <f t="shared" si="94"/>
        <v/>
      </c>
      <c r="S33" s="17" t="str">
        <f t="shared" si="94"/>
        <v/>
      </c>
      <c r="T33" s="17" t="str">
        <f t="shared" si="94"/>
        <v/>
      </c>
      <c r="U33" s="17" t="str">
        <f t="shared" si="94"/>
        <v/>
      </c>
      <c r="V33" s="17" t="str">
        <f t="shared" si="94"/>
        <v/>
      </c>
      <c r="W33" s="17" t="str">
        <f t="shared" si="94"/>
        <v/>
      </c>
      <c r="X33" s="17" t="str">
        <f t="shared" si="94"/>
        <v/>
      </c>
      <c r="Y33" s="17" t="str">
        <f t="shared" si="94"/>
        <v>x</v>
      </c>
      <c r="Z33" s="17" t="str">
        <f t="shared" si="94"/>
        <v>x</v>
      </c>
      <c r="AA33" s="17" t="str">
        <f t="shared" si="94"/>
        <v/>
      </c>
      <c r="AB33" s="17" t="str">
        <f t="shared" si="94"/>
        <v/>
      </c>
      <c r="AC33" s="17" t="str">
        <f t="shared" si="94"/>
        <v/>
      </c>
      <c r="AD33" s="17" t="str">
        <f t="shared" si="94"/>
        <v/>
      </c>
      <c r="AE33" s="17" t="str">
        <f t="shared" si="83"/>
        <v/>
      </c>
      <c r="AF33" s="17" t="str">
        <f t="shared" si="83"/>
        <v/>
      </c>
      <c r="AG33" s="17" t="str">
        <f t="shared" si="83"/>
        <v/>
      </c>
      <c r="AH33" s="17" t="str">
        <f t="shared" si="83"/>
        <v/>
      </c>
      <c r="AI33" s="17" t="str">
        <f t="shared" si="83"/>
        <v/>
      </c>
      <c r="AJ33" s="17" t="str">
        <f t="shared" si="83"/>
        <v/>
      </c>
      <c r="AK33" s="17" t="str">
        <f t="shared" si="83"/>
        <v/>
      </c>
      <c r="AL33" s="17" t="str">
        <f t="shared" si="83"/>
        <v/>
      </c>
      <c r="AM33" s="17" t="str">
        <f t="shared" si="83"/>
        <v/>
      </c>
      <c r="AN33" s="17" t="str">
        <f t="shared" si="83"/>
        <v/>
      </c>
      <c r="AO33" s="17" t="str">
        <f t="shared" si="83"/>
        <v/>
      </c>
      <c r="AP33" s="17" t="str">
        <f t="shared" si="83"/>
        <v/>
      </c>
      <c r="AQ33" s="17" t="str">
        <f t="shared" si="83"/>
        <v/>
      </c>
      <c r="AR33" s="17" t="str">
        <f t="shared" si="83"/>
        <v/>
      </c>
      <c r="AS33" s="17" t="str">
        <f t="shared" si="83"/>
        <v/>
      </c>
      <c r="AT33" s="17" t="str">
        <f t="shared" si="83"/>
        <v/>
      </c>
      <c r="AU33" s="17" t="str">
        <f t="shared" si="92"/>
        <v/>
      </c>
      <c r="AV33" s="17" t="str">
        <f t="shared" si="92"/>
        <v/>
      </c>
      <c r="AW33" s="17" t="str">
        <f t="shared" si="92"/>
        <v/>
      </c>
      <c r="AX33" s="17" t="str">
        <f t="shared" si="92"/>
        <v/>
      </c>
      <c r="AY33" s="17" t="str">
        <f t="shared" si="92"/>
        <v/>
      </c>
      <c r="AZ33" s="17" t="str">
        <f t="shared" si="92"/>
        <v/>
      </c>
      <c r="BA33" s="17" t="str">
        <f t="shared" si="92"/>
        <v/>
      </c>
      <c r="BB33" s="17" t="str">
        <f t="shared" si="92"/>
        <v/>
      </c>
      <c r="BC33" s="17" t="str">
        <f t="shared" si="92"/>
        <v/>
      </c>
      <c r="BD33" s="17" t="str">
        <f t="shared" si="92"/>
        <v/>
      </c>
      <c r="BE33" s="17" t="str">
        <f t="shared" si="92"/>
        <v/>
      </c>
      <c r="BF33" s="17" t="str">
        <f t="shared" si="92"/>
        <v/>
      </c>
      <c r="BG33" s="17" t="str">
        <f t="shared" si="92"/>
        <v/>
      </c>
      <c r="BH33" s="17" t="str">
        <f t="shared" si="92"/>
        <v/>
      </c>
      <c r="BI33" s="17" t="str">
        <f t="shared" si="92"/>
        <v/>
      </c>
      <c r="BJ33" s="17" t="str">
        <f t="shared" si="92"/>
        <v/>
      </c>
      <c r="BK33" s="17" t="str">
        <f t="shared" si="93"/>
        <v/>
      </c>
      <c r="BL33" s="17" t="str">
        <f t="shared" si="93"/>
        <v/>
      </c>
      <c r="BM33" s="17" t="str">
        <f t="shared" si="93"/>
        <v/>
      </c>
      <c r="BN33" s="17" t="str">
        <f t="shared" si="93"/>
        <v/>
      </c>
      <c r="BO33" s="17" t="str">
        <f t="shared" si="93"/>
        <v/>
      </c>
      <c r="BP33" s="17" t="str">
        <f t="shared" si="93"/>
        <v/>
      </c>
      <c r="BQ33" s="17" t="str">
        <f t="shared" si="93"/>
        <v/>
      </c>
      <c r="BR33" s="17" t="str">
        <f t="shared" si="93"/>
        <v/>
      </c>
      <c r="BS33" s="17" t="str">
        <f t="shared" si="93"/>
        <v/>
      </c>
      <c r="BT33" s="17" t="str">
        <f t="shared" si="93"/>
        <v/>
      </c>
      <c r="BU33" s="17" t="str">
        <f t="shared" si="93"/>
        <v/>
      </c>
      <c r="BV33" s="17" t="str">
        <f t="shared" si="93"/>
        <v/>
      </c>
      <c r="BW33" s="17" t="str">
        <f t="shared" si="93"/>
        <v/>
      </c>
      <c r="BX33" s="17" t="str">
        <f t="shared" si="88"/>
        <v/>
      </c>
      <c r="BY33" s="17" t="str">
        <f t="shared" si="88"/>
        <v/>
      </c>
      <c r="BZ33" s="17" t="str">
        <f t="shared" si="88"/>
        <v/>
      </c>
      <c r="CA33" s="17" t="str">
        <f t="shared" si="88"/>
        <v/>
      </c>
      <c r="CB33" s="17" t="str">
        <f t="shared" si="88"/>
        <v/>
      </c>
      <c r="CC33" s="17" t="str">
        <f t="shared" si="88"/>
        <v/>
      </c>
      <c r="CD33" s="17" t="str">
        <f t="shared" si="88"/>
        <v/>
      </c>
      <c r="CE33" s="17" t="str">
        <f t="shared" si="88"/>
        <v/>
      </c>
      <c r="CF33" s="17" t="str">
        <f t="shared" si="88"/>
        <v/>
      </c>
      <c r="CG33" s="17" t="str">
        <f t="shared" si="88"/>
        <v/>
      </c>
      <c r="CH33" s="17" t="str">
        <f t="shared" si="88"/>
        <v/>
      </c>
      <c r="CI33" s="17" t="str">
        <f t="shared" si="89"/>
        <v/>
      </c>
      <c r="CJ33" s="17" t="str">
        <f t="shared" si="89"/>
        <v/>
      </c>
      <c r="CK33" s="17" t="str">
        <f t="shared" si="89"/>
        <v/>
      </c>
      <c r="CL33" s="17" t="str">
        <f t="shared" si="89"/>
        <v/>
      </c>
      <c r="CM33" s="17" t="str">
        <f t="shared" si="89"/>
        <v/>
      </c>
      <c r="CN33" s="17" t="str">
        <f t="shared" si="89"/>
        <v/>
      </c>
      <c r="CO33" s="17" t="str">
        <f t="shared" si="89"/>
        <v/>
      </c>
      <c r="CP33" s="17" t="str">
        <f t="shared" si="89"/>
        <v/>
      </c>
      <c r="CQ33" s="17" t="str">
        <f t="shared" si="89"/>
        <v/>
      </c>
      <c r="CR33" s="17" t="str">
        <f t="shared" si="89"/>
        <v/>
      </c>
      <c r="CS33" s="17" t="str">
        <f t="shared" si="89"/>
        <v/>
      </c>
      <c r="CT33" s="17" t="str">
        <f t="shared" si="89"/>
        <v/>
      </c>
      <c r="CU33" s="17" t="str">
        <f t="shared" si="89"/>
        <v/>
      </c>
      <c r="CV33" s="17" t="str">
        <f t="shared" si="85"/>
        <v/>
      </c>
      <c r="CW33" s="17" t="str">
        <f t="shared" si="85"/>
        <v/>
      </c>
      <c r="CX33" s="17" t="str">
        <f t="shared" si="85"/>
        <v/>
      </c>
      <c r="CY33" s="17" t="str">
        <f t="shared" si="85"/>
        <v/>
      </c>
      <c r="CZ33" s="17" t="str">
        <f t="shared" si="85"/>
        <v/>
      </c>
      <c r="DA33" s="17" t="str">
        <f t="shared" si="85"/>
        <v/>
      </c>
      <c r="DB33" s="17" t="str">
        <f t="shared" si="85"/>
        <v/>
      </c>
      <c r="DC33" s="17" t="str">
        <f t="shared" si="85"/>
        <v/>
      </c>
      <c r="DE33" s="23">
        <f t="shared" si="90"/>
        <v>0</v>
      </c>
      <c r="DF33" s="23">
        <f t="shared" si="91"/>
        <v>0</v>
      </c>
    </row>
    <row r="34" spans="2:110" ht="15.75" x14ac:dyDescent="0.25">
      <c r="B34" s="28">
        <f t="shared" si="95"/>
        <v>26</v>
      </c>
      <c r="C34" s="55" t="s">
        <v>104</v>
      </c>
      <c r="D34" s="31">
        <v>1</v>
      </c>
      <c r="E34" s="32">
        <v>25</v>
      </c>
      <c r="F34" s="31" t="s">
        <v>60</v>
      </c>
      <c r="G34" s="33">
        <v>0</v>
      </c>
      <c r="H34" s="29">
        <f t="shared" si="73"/>
        <v>45977</v>
      </c>
      <c r="I34" s="29">
        <f t="shared" si="86"/>
        <v>45977</v>
      </c>
      <c r="J34" s="58" t="s">
        <v>127</v>
      </c>
      <c r="K34" s="31" t="s">
        <v>9</v>
      </c>
      <c r="L34" s="34"/>
      <c r="M34" s="30" t="str">
        <f t="shared" si="87"/>
        <v/>
      </c>
      <c r="O34" s="16" t="str">
        <f t="shared" si="94"/>
        <v/>
      </c>
      <c r="P34" s="17" t="str">
        <f t="shared" si="94"/>
        <v/>
      </c>
      <c r="Q34" s="17" t="str">
        <f t="shared" si="94"/>
        <v/>
      </c>
      <c r="R34" s="17" t="str">
        <f t="shared" si="94"/>
        <v/>
      </c>
      <c r="S34" s="17" t="str">
        <f t="shared" si="94"/>
        <v/>
      </c>
      <c r="T34" s="17" t="str">
        <f t="shared" si="94"/>
        <v/>
      </c>
      <c r="U34" s="17" t="str">
        <f t="shared" si="94"/>
        <v/>
      </c>
      <c r="V34" s="17" t="str">
        <f t="shared" si="94"/>
        <v/>
      </c>
      <c r="W34" s="17" t="str">
        <f t="shared" si="94"/>
        <v/>
      </c>
      <c r="X34" s="17" t="str">
        <f t="shared" si="94"/>
        <v/>
      </c>
      <c r="Y34" s="17" t="str">
        <f t="shared" si="94"/>
        <v/>
      </c>
      <c r="Z34" s="17" t="str">
        <f t="shared" si="94"/>
        <v>x</v>
      </c>
      <c r="AA34" s="17" t="str">
        <f t="shared" si="94"/>
        <v/>
      </c>
      <c r="AB34" s="17" t="str">
        <f t="shared" si="94"/>
        <v/>
      </c>
      <c r="AC34" s="17" t="str">
        <f t="shared" si="94"/>
        <v/>
      </c>
      <c r="AD34" s="17" t="str">
        <f t="shared" si="94"/>
        <v/>
      </c>
      <c r="AE34" s="17" t="str">
        <f t="shared" si="83"/>
        <v/>
      </c>
      <c r="AF34" s="17" t="str">
        <f t="shared" si="83"/>
        <v/>
      </c>
      <c r="AG34" s="17" t="str">
        <f t="shared" si="83"/>
        <v/>
      </c>
      <c r="AH34" s="17" t="str">
        <f t="shared" si="83"/>
        <v/>
      </c>
      <c r="AI34" s="17" t="str">
        <f t="shared" si="83"/>
        <v/>
      </c>
      <c r="AJ34" s="17" t="str">
        <f t="shared" si="83"/>
        <v/>
      </c>
      <c r="AK34" s="17" t="str">
        <f t="shared" si="83"/>
        <v/>
      </c>
      <c r="AL34" s="17" t="str">
        <f t="shared" si="83"/>
        <v/>
      </c>
      <c r="AM34" s="17" t="str">
        <f t="shared" si="83"/>
        <v/>
      </c>
      <c r="AN34" s="17" t="str">
        <f t="shared" si="83"/>
        <v/>
      </c>
      <c r="AO34" s="17" t="str">
        <f t="shared" si="83"/>
        <v/>
      </c>
      <c r="AP34" s="17" t="str">
        <f t="shared" si="83"/>
        <v/>
      </c>
      <c r="AQ34" s="17" t="str">
        <f t="shared" si="83"/>
        <v/>
      </c>
      <c r="AR34" s="17" t="str">
        <f t="shared" si="83"/>
        <v/>
      </c>
      <c r="AS34" s="17" t="str">
        <f t="shared" si="83"/>
        <v/>
      </c>
      <c r="AT34" s="17" t="str">
        <f t="shared" si="83"/>
        <v/>
      </c>
      <c r="AU34" s="17" t="str">
        <f t="shared" si="92"/>
        <v/>
      </c>
      <c r="AV34" s="17" t="str">
        <f t="shared" si="92"/>
        <v/>
      </c>
      <c r="AW34" s="17" t="str">
        <f t="shared" si="92"/>
        <v/>
      </c>
      <c r="AX34" s="17" t="str">
        <f t="shared" si="92"/>
        <v/>
      </c>
      <c r="AY34" s="17" t="str">
        <f t="shared" si="92"/>
        <v/>
      </c>
      <c r="AZ34" s="17" t="str">
        <f t="shared" si="92"/>
        <v/>
      </c>
      <c r="BA34" s="17" t="str">
        <f t="shared" si="92"/>
        <v/>
      </c>
      <c r="BB34" s="17" t="str">
        <f t="shared" si="92"/>
        <v/>
      </c>
      <c r="BC34" s="17" t="str">
        <f t="shared" si="92"/>
        <v/>
      </c>
      <c r="BD34" s="17" t="str">
        <f t="shared" si="92"/>
        <v/>
      </c>
      <c r="BE34" s="17" t="str">
        <f t="shared" si="92"/>
        <v/>
      </c>
      <c r="BF34" s="17" t="str">
        <f t="shared" si="92"/>
        <v/>
      </c>
      <c r="BG34" s="17" t="str">
        <f t="shared" si="92"/>
        <v/>
      </c>
      <c r="BH34" s="17" t="str">
        <f t="shared" si="92"/>
        <v/>
      </c>
      <c r="BI34" s="17" t="str">
        <f t="shared" si="92"/>
        <v/>
      </c>
      <c r="BJ34" s="17" t="str">
        <f t="shared" si="92"/>
        <v/>
      </c>
      <c r="BK34" s="17" t="str">
        <f t="shared" si="93"/>
        <v/>
      </c>
      <c r="BL34" s="17" t="str">
        <f t="shared" si="93"/>
        <v/>
      </c>
      <c r="BM34" s="17" t="str">
        <f t="shared" si="93"/>
        <v/>
      </c>
      <c r="BN34" s="17" t="str">
        <f t="shared" si="93"/>
        <v/>
      </c>
      <c r="BO34" s="17" t="str">
        <f t="shared" si="93"/>
        <v/>
      </c>
      <c r="BP34" s="17" t="str">
        <f t="shared" si="93"/>
        <v/>
      </c>
      <c r="BQ34" s="17" t="str">
        <f t="shared" si="93"/>
        <v/>
      </c>
      <c r="BR34" s="17" t="str">
        <f t="shared" si="93"/>
        <v/>
      </c>
      <c r="BS34" s="17" t="str">
        <f t="shared" si="93"/>
        <v/>
      </c>
      <c r="BT34" s="17" t="str">
        <f t="shared" si="93"/>
        <v/>
      </c>
      <c r="BU34" s="17" t="str">
        <f t="shared" si="93"/>
        <v/>
      </c>
      <c r="BV34" s="17" t="str">
        <f t="shared" si="93"/>
        <v/>
      </c>
      <c r="BW34" s="17" t="str">
        <f t="shared" si="93"/>
        <v/>
      </c>
      <c r="BX34" s="17" t="str">
        <f t="shared" si="88"/>
        <v/>
      </c>
      <c r="BY34" s="17" t="str">
        <f t="shared" si="88"/>
        <v/>
      </c>
      <c r="BZ34" s="17" t="str">
        <f t="shared" si="88"/>
        <v/>
      </c>
      <c r="CA34" s="17" t="str">
        <f t="shared" si="88"/>
        <v/>
      </c>
      <c r="CB34" s="17" t="str">
        <f t="shared" si="88"/>
        <v/>
      </c>
      <c r="CC34" s="17" t="str">
        <f t="shared" si="88"/>
        <v/>
      </c>
      <c r="CD34" s="17" t="str">
        <f t="shared" si="88"/>
        <v/>
      </c>
      <c r="CE34" s="17" t="str">
        <f t="shared" si="88"/>
        <v/>
      </c>
      <c r="CF34" s="17" t="str">
        <f t="shared" si="88"/>
        <v/>
      </c>
      <c r="CG34" s="17" t="str">
        <f t="shared" si="88"/>
        <v/>
      </c>
      <c r="CH34" s="17" t="str">
        <f t="shared" si="88"/>
        <v/>
      </c>
      <c r="CI34" s="17" t="str">
        <f t="shared" si="89"/>
        <v/>
      </c>
      <c r="CJ34" s="17" t="str">
        <f t="shared" si="89"/>
        <v/>
      </c>
      <c r="CK34" s="17" t="str">
        <f t="shared" si="89"/>
        <v/>
      </c>
      <c r="CL34" s="17" t="str">
        <f t="shared" si="89"/>
        <v/>
      </c>
      <c r="CM34" s="17" t="str">
        <f t="shared" si="89"/>
        <v/>
      </c>
      <c r="CN34" s="17" t="str">
        <f t="shared" si="89"/>
        <v/>
      </c>
      <c r="CO34" s="17" t="str">
        <f t="shared" si="89"/>
        <v/>
      </c>
      <c r="CP34" s="17" t="str">
        <f t="shared" si="89"/>
        <v/>
      </c>
      <c r="CQ34" s="17" t="str">
        <f t="shared" si="89"/>
        <v/>
      </c>
      <c r="CR34" s="17" t="str">
        <f t="shared" si="89"/>
        <v/>
      </c>
      <c r="CS34" s="17" t="str">
        <f t="shared" si="89"/>
        <v/>
      </c>
      <c r="CT34" s="17" t="str">
        <f t="shared" si="89"/>
        <v/>
      </c>
      <c r="CU34" s="17" t="str">
        <f t="shared" si="89"/>
        <v/>
      </c>
      <c r="CV34" s="17" t="str">
        <f t="shared" si="85"/>
        <v/>
      </c>
      <c r="CW34" s="17" t="str">
        <f t="shared" si="85"/>
        <v/>
      </c>
      <c r="CX34" s="17" t="str">
        <f t="shared" si="85"/>
        <v/>
      </c>
      <c r="CY34" s="17" t="str">
        <f t="shared" si="85"/>
        <v/>
      </c>
      <c r="CZ34" s="17" t="str">
        <f t="shared" si="85"/>
        <v/>
      </c>
      <c r="DA34" s="17" t="str">
        <f t="shared" si="85"/>
        <v/>
      </c>
      <c r="DB34" s="17" t="str">
        <f t="shared" si="85"/>
        <v/>
      </c>
      <c r="DC34" s="17" t="str">
        <f t="shared" si="85"/>
        <v/>
      </c>
      <c r="DE34" s="23">
        <f t="shared" si="90"/>
        <v>0</v>
      </c>
      <c r="DF34" s="23">
        <f t="shared" si="91"/>
        <v>0</v>
      </c>
    </row>
    <row r="35" spans="2:110" ht="15.75" x14ac:dyDescent="0.25">
      <c r="B35" s="28">
        <f t="shared" si="95"/>
        <v>27</v>
      </c>
      <c r="C35" s="55" t="s">
        <v>105</v>
      </c>
      <c r="D35" s="31">
        <v>1</v>
      </c>
      <c r="E35" s="32">
        <v>26</v>
      </c>
      <c r="F35" s="31" t="s">
        <v>60</v>
      </c>
      <c r="G35" s="33">
        <v>1</v>
      </c>
      <c r="H35" s="29">
        <f t="shared" si="73"/>
        <v>45978</v>
      </c>
      <c r="I35" s="29">
        <f>IF(H35="","",H35+D35-1)</f>
        <v>45978</v>
      </c>
      <c r="J35" s="58" t="s">
        <v>127</v>
      </c>
      <c r="K35" s="31" t="s">
        <v>9</v>
      </c>
      <c r="L35" s="34"/>
      <c r="M35" s="30" t="str">
        <f t="shared" si="87"/>
        <v/>
      </c>
      <c r="O35" s="16" t="str">
        <f t="shared" si="94"/>
        <v/>
      </c>
      <c r="P35" s="17" t="str">
        <f t="shared" si="94"/>
        <v/>
      </c>
      <c r="Q35" s="17" t="str">
        <f t="shared" si="94"/>
        <v/>
      </c>
      <c r="R35" s="17" t="str">
        <f t="shared" si="94"/>
        <v/>
      </c>
      <c r="S35" s="17" t="str">
        <f t="shared" si="94"/>
        <v/>
      </c>
      <c r="T35" s="17" t="str">
        <f t="shared" si="94"/>
        <v/>
      </c>
      <c r="U35" s="17" t="str">
        <f t="shared" si="94"/>
        <v/>
      </c>
      <c r="V35" s="17" t="str">
        <f t="shared" si="94"/>
        <v/>
      </c>
      <c r="W35" s="17" t="str">
        <f t="shared" si="94"/>
        <v/>
      </c>
      <c r="X35" s="17" t="str">
        <f t="shared" si="94"/>
        <v/>
      </c>
      <c r="Y35" s="17" t="str">
        <f t="shared" si="94"/>
        <v/>
      </c>
      <c r="Z35" s="17" t="str">
        <f t="shared" si="94"/>
        <v/>
      </c>
      <c r="AA35" s="17" t="str">
        <f t="shared" si="94"/>
        <v>x</v>
      </c>
      <c r="AB35" s="17" t="str">
        <f t="shared" si="94"/>
        <v/>
      </c>
      <c r="AC35" s="17" t="str">
        <f t="shared" si="94"/>
        <v/>
      </c>
      <c r="AD35" s="17" t="str">
        <f t="shared" si="94"/>
        <v/>
      </c>
      <c r="AE35" s="17" t="str">
        <f t="shared" ref="AE35:AT50" si="96">IF(AND(AE$8&gt;=$H35,AE$8&lt;=$I35),"x","")</f>
        <v/>
      </c>
      <c r="AF35" s="17" t="str">
        <f t="shared" si="96"/>
        <v/>
      </c>
      <c r="AG35" s="17" t="str">
        <f t="shared" si="96"/>
        <v/>
      </c>
      <c r="AH35" s="17" t="str">
        <f t="shared" si="96"/>
        <v/>
      </c>
      <c r="AI35" s="17" t="str">
        <f t="shared" si="96"/>
        <v/>
      </c>
      <c r="AJ35" s="17" t="str">
        <f t="shared" si="96"/>
        <v/>
      </c>
      <c r="AK35" s="17" t="str">
        <f t="shared" si="96"/>
        <v/>
      </c>
      <c r="AL35" s="17" t="str">
        <f t="shared" si="96"/>
        <v/>
      </c>
      <c r="AM35" s="17" t="str">
        <f t="shared" si="96"/>
        <v/>
      </c>
      <c r="AN35" s="17" t="str">
        <f t="shared" si="96"/>
        <v/>
      </c>
      <c r="AO35" s="17" t="str">
        <f t="shared" si="96"/>
        <v/>
      </c>
      <c r="AP35" s="17" t="str">
        <f t="shared" si="96"/>
        <v/>
      </c>
      <c r="AQ35" s="17" t="str">
        <f t="shared" si="96"/>
        <v/>
      </c>
      <c r="AR35" s="17" t="str">
        <f t="shared" si="96"/>
        <v/>
      </c>
      <c r="AS35" s="17" t="str">
        <f t="shared" si="96"/>
        <v/>
      </c>
      <c r="AT35" s="17" t="str">
        <f t="shared" si="96"/>
        <v/>
      </c>
      <c r="AU35" s="17" t="str">
        <f t="shared" si="92"/>
        <v/>
      </c>
      <c r="AV35" s="17" t="str">
        <f t="shared" si="92"/>
        <v/>
      </c>
      <c r="AW35" s="17" t="str">
        <f t="shared" si="92"/>
        <v/>
      </c>
      <c r="AX35" s="17" t="str">
        <f t="shared" si="92"/>
        <v/>
      </c>
      <c r="AY35" s="17" t="str">
        <f t="shared" si="92"/>
        <v/>
      </c>
      <c r="AZ35" s="17" t="str">
        <f t="shared" si="92"/>
        <v/>
      </c>
      <c r="BA35" s="17" t="str">
        <f t="shared" si="92"/>
        <v/>
      </c>
      <c r="BB35" s="17" t="str">
        <f t="shared" si="92"/>
        <v/>
      </c>
      <c r="BC35" s="17" t="str">
        <f t="shared" si="92"/>
        <v/>
      </c>
      <c r="BD35" s="17" t="str">
        <f t="shared" si="92"/>
        <v/>
      </c>
      <c r="BE35" s="17" t="str">
        <f t="shared" si="92"/>
        <v/>
      </c>
      <c r="BF35" s="17" t="str">
        <f t="shared" si="92"/>
        <v/>
      </c>
      <c r="BG35" s="17" t="str">
        <f t="shared" si="92"/>
        <v/>
      </c>
      <c r="BH35" s="17" t="str">
        <f t="shared" si="92"/>
        <v/>
      </c>
      <c r="BI35" s="17" t="str">
        <f t="shared" si="92"/>
        <v/>
      </c>
      <c r="BJ35" s="17" t="str">
        <f t="shared" si="92"/>
        <v/>
      </c>
      <c r="BK35" s="17" t="str">
        <f t="shared" si="93"/>
        <v/>
      </c>
      <c r="BL35" s="17" t="str">
        <f t="shared" si="93"/>
        <v/>
      </c>
      <c r="BM35" s="17" t="str">
        <f t="shared" si="93"/>
        <v/>
      </c>
      <c r="BN35" s="17" t="str">
        <f t="shared" si="93"/>
        <v/>
      </c>
      <c r="BO35" s="17" t="str">
        <f t="shared" si="93"/>
        <v/>
      </c>
      <c r="BP35" s="17" t="str">
        <f t="shared" si="93"/>
        <v/>
      </c>
      <c r="BQ35" s="17" t="str">
        <f t="shared" si="93"/>
        <v/>
      </c>
      <c r="BR35" s="17" t="str">
        <f t="shared" si="93"/>
        <v/>
      </c>
      <c r="BS35" s="17" t="str">
        <f t="shared" si="93"/>
        <v/>
      </c>
      <c r="BT35" s="17" t="str">
        <f t="shared" si="93"/>
        <v/>
      </c>
      <c r="BU35" s="17" t="str">
        <f t="shared" si="93"/>
        <v/>
      </c>
      <c r="BV35" s="17" t="str">
        <f t="shared" si="93"/>
        <v/>
      </c>
      <c r="BW35" s="17" t="str">
        <f t="shared" si="93"/>
        <v/>
      </c>
      <c r="BX35" s="17" t="str">
        <f t="shared" si="88"/>
        <v/>
      </c>
      <c r="BY35" s="17" t="str">
        <f t="shared" si="88"/>
        <v/>
      </c>
      <c r="BZ35" s="17" t="str">
        <f t="shared" si="88"/>
        <v/>
      </c>
      <c r="CA35" s="17" t="str">
        <f t="shared" si="88"/>
        <v/>
      </c>
      <c r="CB35" s="17" t="str">
        <f t="shared" si="88"/>
        <v/>
      </c>
      <c r="CC35" s="17" t="str">
        <f t="shared" si="88"/>
        <v/>
      </c>
      <c r="CD35" s="17" t="str">
        <f t="shared" si="88"/>
        <v/>
      </c>
      <c r="CE35" s="17" t="str">
        <f t="shared" si="88"/>
        <v/>
      </c>
      <c r="CF35" s="17" t="str">
        <f t="shared" si="88"/>
        <v/>
      </c>
      <c r="CG35" s="17" t="str">
        <f t="shared" si="88"/>
        <v/>
      </c>
      <c r="CH35" s="17" t="str">
        <f t="shared" si="88"/>
        <v/>
      </c>
      <c r="CI35" s="17" t="str">
        <f t="shared" si="89"/>
        <v/>
      </c>
      <c r="CJ35" s="17" t="str">
        <f t="shared" si="89"/>
        <v/>
      </c>
      <c r="CK35" s="17" t="str">
        <f t="shared" si="89"/>
        <v/>
      </c>
      <c r="CL35" s="17" t="str">
        <f t="shared" si="89"/>
        <v/>
      </c>
      <c r="CM35" s="17" t="str">
        <f t="shared" si="89"/>
        <v/>
      </c>
      <c r="CN35" s="17" t="str">
        <f t="shared" si="89"/>
        <v/>
      </c>
      <c r="CO35" s="17" t="str">
        <f t="shared" si="89"/>
        <v/>
      </c>
      <c r="CP35" s="17" t="str">
        <f t="shared" si="89"/>
        <v/>
      </c>
      <c r="CQ35" s="17" t="str">
        <f t="shared" si="89"/>
        <v/>
      </c>
      <c r="CR35" s="17" t="str">
        <f t="shared" si="89"/>
        <v/>
      </c>
      <c r="CS35" s="17" t="str">
        <f t="shared" si="89"/>
        <v/>
      </c>
      <c r="CT35" s="17" t="str">
        <f t="shared" si="89"/>
        <v/>
      </c>
      <c r="CU35" s="17" t="str">
        <f t="shared" si="89"/>
        <v/>
      </c>
      <c r="CV35" s="17" t="str">
        <f t="shared" si="85"/>
        <v/>
      </c>
      <c r="CW35" s="17" t="str">
        <f t="shared" si="85"/>
        <v/>
      </c>
      <c r="CX35" s="17" t="str">
        <f t="shared" si="85"/>
        <v/>
      </c>
      <c r="CY35" s="17" t="str">
        <f t="shared" si="85"/>
        <v/>
      </c>
      <c r="CZ35" s="17" t="str">
        <f t="shared" si="85"/>
        <v/>
      </c>
      <c r="DA35" s="17" t="str">
        <f t="shared" si="85"/>
        <v/>
      </c>
      <c r="DB35" s="17" t="str">
        <f t="shared" si="85"/>
        <v/>
      </c>
      <c r="DC35" s="17" t="str">
        <f t="shared" si="85"/>
        <v/>
      </c>
      <c r="DE35" s="23">
        <f t="shared" si="90"/>
        <v>0</v>
      </c>
      <c r="DF35" s="23">
        <f t="shared" si="91"/>
        <v>0</v>
      </c>
    </row>
    <row r="36" spans="2:110" ht="15.75" x14ac:dyDescent="0.25">
      <c r="B36" s="28">
        <f t="shared" si="95"/>
        <v>28</v>
      </c>
      <c r="C36" s="56" t="s">
        <v>84</v>
      </c>
      <c r="D36" s="31">
        <v>2</v>
      </c>
      <c r="E36" s="32">
        <v>24</v>
      </c>
      <c r="F36" s="31" t="s">
        <v>60</v>
      </c>
      <c r="G36" s="33">
        <v>1</v>
      </c>
      <c r="H36" s="29">
        <f t="shared" si="73"/>
        <v>45979</v>
      </c>
      <c r="I36" s="29">
        <f t="shared" si="86"/>
        <v>45980</v>
      </c>
      <c r="J36" s="58" t="s">
        <v>127</v>
      </c>
      <c r="K36" s="31" t="s">
        <v>9</v>
      </c>
      <c r="L36" s="34"/>
      <c r="M36" s="30" t="str">
        <f t="shared" si="87"/>
        <v/>
      </c>
      <c r="O36" s="16" t="str">
        <f t="shared" si="94"/>
        <v/>
      </c>
      <c r="P36" s="17" t="str">
        <f t="shared" si="94"/>
        <v/>
      </c>
      <c r="Q36" s="17" t="str">
        <f t="shared" si="94"/>
        <v/>
      </c>
      <c r="R36" s="17" t="str">
        <f t="shared" si="94"/>
        <v/>
      </c>
      <c r="S36" s="17" t="str">
        <f t="shared" si="94"/>
        <v/>
      </c>
      <c r="T36" s="17" t="str">
        <f t="shared" si="94"/>
        <v/>
      </c>
      <c r="U36" s="17" t="str">
        <f t="shared" si="94"/>
        <v/>
      </c>
      <c r="V36" s="17" t="str">
        <f t="shared" si="94"/>
        <v/>
      </c>
      <c r="W36" s="17" t="str">
        <f t="shared" si="94"/>
        <v/>
      </c>
      <c r="X36" s="17" t="str">
        <f t="shared" si="94"/>
        <v/>
      </c>
      <c r="Y36" s="17" t="str">
        <f t="shared" si="94"/>
        <v/>
      </c>
      <c r="Z36" s="17" t="str">
        <f t="shared" si="94"/>
        <v/>
      </c>
      <c r="AA36" s="17" t="str">
        <f t="shared" si="94"/>
        <v/>
      </c>
      <c r="AB36" s="17" t="str">
        <f t="shared" si="94"/>
        <v>x</v>
      </c>
      <c r="AC36" s="17" t="str">
        <f t="shared" si="94"/>
        <v>x</v>
      </c>
      <c r="AD36" s="17" t="str">
        <f t="shared" si="94"/>
        <v/>
      </c>
      <c r="AE36" s="17" t="str">
        <f t="shared" si="96"/>
        <v/>
      </c>
      <c r="AF36" s="17" t="str">
        <f t="shared" si="96"/>
        <v/>
      </c>
      <c r="AG36" s="17" t="str">
        <f t="shared" si="96"/>
        <v/>
      </c>
      <c r="AH36" s="17" t="str">
        <f t="shared" si="96"/>
        <v/>
      </c>
      <c r="AI36" s="17" t="str">
        <f t="shared" si="96"/>
        <v/>
      </c>
      <c r="AJ36" s="17" t="str">
        <f t="shared" si="96"/>
        <v/>
      </c>
      <c r="AK36" s="17" t="str">
        <f t="shared" si="96"/>
        <v/>
      </c>
      <c r="AL36" s="17" t="str">
        <f t="shared" si="96"/>
        <v/>
      </c>
      <c r="AM36" s="17" t="str">
        <f t="shared" si="96"/>
        <v/>
      </c>
      <c r="AN36" s="17" t="str">
        <f t="shared" si="96"/>
        <v/>
      </c>
      <c r="AO36" s="17" t="str">
        <f t="shared" si="96"/>
        <v/>
      </c>
      <c r="AP36" s="17" t="str">
        <f t="shared" si="96"/>
        <v/>
      </c>
      <c r="AQ36" s="17" t="str">
        <f t="shared" si="96"/>
        <v/>
      </c>
      <c r="AR36" s="17" t="str">
        <f t="shared" si="96"/>
        <v/>
      </c>
      <c r="AS36" s="17" t="str">
        <f t="shared" si="96"/>
        <v/>
      </c>
      <c r="AT36" s="17" t="str">
        <f t="shared" si="96"/>
        <v/>
      </c>
      <c r="AU36" s="17" t="str">
        <f t="shared" si="92"/>
        <v/>
      </c>
      <c r="AV36" s="17" t="str">
        <f t="shared" si="92"/>
        <v/>
      </c>
      <c r="AW36" s="17" t="str">
        <f t="shared" si="92"/>
        <v/>
      </c>
      <c r="AX36" s="17" t="str">
        <f t="shared" si="92"/>
        <v/>
      </c>
      <c r="AY36" s="17" t="str">
        <f t="shared" si="92"/>
        <v/>
      </c>
      <c r="AZ36" s="17" t="str">
        <f t="shared" si="92"/>
        <v/>
      </c>
      <c r="BA36" s="17" t="str">
        <f t="shared" si="92"/>
        <v/>
      </c>
      <c r="BB36" s="17" t="str">
        <f t="shared" si="92"/>
        <v/>
      </c>
      <c r="BC36" s="17" t="str">
        <f t="shared" si="92"/>
        <v/>
      </c>
      <c r="BD36" s="17" t="str">
        <f t="shared" si="92"/>
        <v/>
      </c>
      <c r="BE36" s="17" t="str">
        <f t="shared" si="92"/>
        <v/>
      </c>
      <c r="BF36" s="17" t="str">
        <f t="shared" si="92"/>
        <v/>
      </c>
      <c r="BG36" s="17" t="str">
        <f t="shared" si="92"/>
        <v/>
      </c>
      <c r="BH36" s="17" t="str">
        <f t="shared" si="92"/>
        <v/>
      </c>
      <c r="BI36" s="17" t="str">
        <f t="shared" si="92"/>
        <v/>
      </c>
      <c r="BJ36" s="17" t="str">
        <f t="shared" si="92"/>
        <v/>
      </c>
      <c r="BK36" s="17" t="str">
        <f t="shared" si="93"/>
        <v/>
      </c>
      <c r="BL36" s="17" t="str">
        <f t="shared" si="93"/>
        <v/>
      </c>
      <c r="BM36" s="17" t="str">
        <f t="shared" si="93"/>
        <v/>
      </c>
      <c r="BN36" s="17" t="str">
        <f t="shared" si="93"/>
        <v/>
      </c>
      <c r="BO36" s="17" t="str">
        <f t="shared" si="93"/>
        <v/>
      </c>
      <c r="BP36" s="17" t="str">
        <f t="shared" si="93"/>
        <v/>
      </c>
      <c r="BQ36" s="17" t="str">
        <f t="shared" si="93"/>
        <v/>
      </c>
      <c r="BR36" s="17" t="str">
        <f t="shared" si="93"/>
        <v/>
      </c>
      <c r="BS36" s="17" t="str">
        <f t="shared" si="93"/>
        <v/>
      </c>
      <c r="BT36" s="17" t="str">
        <f t="shared" si="93"/>
        <v/>
      </c>
      <c r="BU36" s="17" t="str">
        <f t="shared" si="93"/>
        <v/>
      </c>
      <c r="BV36" s="17" t="str">
        <f t="shared" si="93"/>
        <v/>
      </c>
      <c r="BW36" s="17" t="str">
        <f t="shared" si="93"/>
        <v/>
      </c>
      <c r="BX36" s="17" t="str">
        <f t="shared" si="88"/>
        <v/>
      </c>
      <c r="BY36" s="17" t="str">
        <f t="shared" si="88"/>
        <v/>
      </c>
      <c r="BZ36" s="17" t="str">
        <f t="shared" si="88"/>
        <v/>
      </c>
      <c r="CA36" s="17" t="str">
        <f t="shared" si="88"/>
        <v/>
      </c>
      <c r="CB36" s="17" t="str">
        <f t="shared" si="88"/>
        <v/>
      </c>
      <c r="CC36" s="17" t="str">
        <f t="shared" si="88"/>
        <v/>
      </c>
      <c r="CD36" s="17" t="str">
        <f t="shared" si="88"/>
        <v/>
      </c>
      <c r="CE36" s="17" t="str">
        <f t="shared" si="88"/>
        <v/>
      </c>
      <c r="CF36" s="17" t="str">
        <f t="shared" si="88"/>
        <v/>
      </c>
      <c r="CG36" s="17" t="str">
        <f t="shared" si="88"/>
        <v/>
      </c>
      <c r="CH36" s="17" t="str">
        <f t="shared" si="88"/>
        <v/>
      </c>
      <c r="CI36" s="17" t="str">
        <f t="shared" si="89"/>
        <v/>
      </c>
      <c r="CJ36" s="17" t="str">
        <f t="shared" si="89"/>
        <v/>
      </c>
      <c r="CK36" s="17" t="str">
        <f t="shared" si="89"/>
        <v/>
      </c>
      <c r="CL36" s="17" t="str">
        <f t="shared" si="89"/>
        <v/>
      </c>
      <c r="CM36" s="17" t="str">
        <f t="shared" si="89"/>
        <v/>
      </c>
      <c r="CN36" s="17" t="str">
        <f t="shared" si="89"/>
        <v/>
      </c>
      <c r="CO36" s="17" t="str">
        <f t="shared" si="89"/>
        <v/>
      </c>
      <c r="CP36" s="17" t="str">
        <f t="shared" si="89"/>
        <v/>
      </c>
      <c r="CQ36" s="17" t="str">
        <f t="shared" si="89"/>
        <v/>
      </c>
      <c r="CR36" s="17" t="str">
        <f t="shared" si="89"/>
        <v/>
      </c>
      <c r="CS36" s="17" t="str">
        <f t="shared" si="89"/>
        <v/>
      </c>
      <c r="CT36" s="17" t="str">
        <f t="shared" si="89"/>
        <v/>
      </c>
      <c r="CU36" s="17" t="str">
        <f t="shared" si="89"/>
        <v/>
      </c>
      <c r="CV36" s="17" t="str">
        <f t="shared" si="85"/>
        <v/>
      </c>
      <c r="CW36" s="17" t="str">
        <f t="shared" si="85"/>
        <v/>
      </c>
      <c r="CX36" s="17" t="str">
        <f t="shared" si="85"/>
        <v/>
      </c>
      <c r="CY36" s="17" t="str">
        <f t="shared" si="85"/>
        <v/>
      </c>
      <c r="CZ36" s="17" t="str">
        <f t="shared" si="85"/>
        <v/>
      </c>
      <c r="DA36" s="17" t="str">
        <f t="shared" si="85"/>
        <v/>
      </c>
      <c r="DB36" s="17" t="str">
        <f t="shared" si="85"/>
        <v/>
      </c>
      <c r="DC36" s="17" t="str">
        <f t="shared" si="85"/>
        <v/>
      </c>
      <c r="DE36" s="23">
        <f t="shared" si="90"/>
        <v>0</v>
      </c>
      <c r="DF36" s="23">
        <f t="shared" si="91"/>
        <v>0</v>
      </c>
    </row>
    <row r="37" spans="2:110" ht="15.75" x14ac:dyDescent="0.25">
      <c r="B37" s="28">
        <f t="shared" si="95"/>
        <v>29</v>
      </c>
      <c r="C37" s="55" t="s">
        <v>106</v>
      </c>
      <c r="D37" s="31">
        <v>1</v>
      </c>
      <c r="E37" s="32">
        <v>28</v>
      </c>
      <c r="F37" s="31" t="s">
        <v>71</v>
      </c>
      <c r="G37" s="33">
        <v>0</v>
      </c>
      <c r="H37" s="29">
        <f t="shared" si="73"/>
        <v>45979</v>
      </c>
      <c r="I37" s="29">
        <f t="shared" si="86"/>
        <v>45979</v>
      </c>
      <c r="J37" s="58" t="s">
        <v>127</v>
      </c>
      <c r="K37" s="31" t="s">
        <v>9</v>
      </c>
      <c r="L37" s="34"/>
      <c r="M37" s="30" t="str">
        <f t="shared" si="87"/>
        <v/>
      </c>
      <c r="O37" s="16" t="str">
        <f t="shared" si="94"/>
        <v/>
      </c>
      <c r="P37" s="17" t="str">
        <f t="shared" si="94"/>
        <v/>
      </c>
      <c r="Q37" s="17" t="str">
        <f t="shared" si="94"/>
        <v/>
      </c>
      <c r="R37" s="17" t="str">
        <f t="shared" si="94"/>
        <v/>
      </c>
      <c r="S37" s="17" t="str">
        <f t="shared" si="94"/>
        <v/>
      </c>
      <c r="T37" s="17" t="str">
        <f t="shared" si="94"/>
        <v/>
      </c>
      <c r="U37" s="17" t="str">
        <f t="shared" si="94"/>
        <v/>
      </c>
      <c r="V37" s="17" t="str">
        <f t="shared" si="94"/>
        <v/>
      </c>
      <c r="W37" s="17" t="str">
        <f t="shared" si="94"/>
        <v/>
      </c>
      <c r="X37" s="17" t="str">
        <f t="shared" si="94"/>
        <v/>
      </c>
      <c r="Y37" s="17" t="str">
        <f t="shared" si="94"/>
        <v/>
      </c>
      <c r="Z37" s="17" t="str">
        <f t="shared" si="94"/>
        <v/>
      </c>
      <c r="AA37" s="17" t="str">
        <f t="shared" si="94"/>
        <v/>
      </c>
      <c r="AB37" s="17" t="str">
        <f t="shared" si="94"/>
        <v>x</v>
      </c>
      <c r="AC37" s="17" t="str">
        <f t="shared" si="94"/>
        <v/>
      </c>
      <c r="AD37" s="17" t="str">
        <f t="shared" si="94"/>
        <v/>
      </c>
      <c r="AE37" s="17" t="str">
        <f t="shared" si="96"/>
        <v/>
      </c>
      <c r="AF37" s="17" t="str">
        <f t="shared" si="96"/>
        <v/>
      </c>
      <c r="AG37" s="17" t="str">
        <f t="shared" si="96"/>
        <v/>
      </c>
      <c r="AH37" s="17" t="str">
        <f t="shared" si="96"/>
        <v/>
      </c>
      <c r="AI37" s="17" t="str">
        <f t="shared" si="96"/>
        <v/>
      </c>
      <c r="AJ37" s="17" t="str">
        <f t="shared" si="96"/>
        <v/>
      </c>
      <c r="AK37" s="17" t="str">
        <f t="shared" si="96"/>
        <v/>
      </c>
      <c r="AL37" s="17" t="str">
        <f t="shared" si="96"/>
        <v/>
      </c>
      <c r="AM37" s="17" t="str">
        <f t="shared" si="96"/>
        <v/>
      </c>
      <c r="AN37" s="17" t="str">
        <f t="shared" si="96"/>
        <v/>
      </c>
      <c r="AO37" s="17" t="str">
        <f t="shared" si="96"/>
        <v/>
      </c>
      <c r="AP37" s="17" t="str">
        <f t="shared" si="96"/>
        <v/>
      </c>
      <c r="AQ37" s="17" t="str">
        <f t="shared" si="96"/>
        <v/>
      </c>
      <c r="AR37" s="17" t="str">
        <f t="shared" si="96"/>
        <v/>
      </c>
      <c r="AS37" s="17" t="str">
        <f t="shared" si="96"/>
        <v/>
      </c>
      <c r="AT37" s="17" t="str">
        <f t="shared" si="96"/>
        <v/>
      </c>
      <c r="AU37" s="17" t="str">
        <f t="shared" si="92"/>
        <v/>
      </c>
      <c r="AV37" s="17" t="str">
        <f t="shared" si="92"/>
        <v/>
      </c>
      <c r="AW37" s="17" t="str">
        <f t="shared" si="92"/>
        <v/>
      </c>
      <c r="AX37" s="17" t="str">
        <f t="shared" si="92"/>
        <v/>
      </c>
      <c r="AY37" s="17" t="str">
        <f t="shared" si="92"/>
        <v/>
      </c>
      <c r="AZ37" s="17" t="str">
        <f t="shared" si="92"/>
        <v/>
      </c>
      <c r="BA37" s="17" t="str">
        <f t="shared" si="92"/>
        <v/>
      </c>
      <c r="BB37" s="17" t="str">
        <f t="shared" si="92"/>
        <v/>
      </c>
      <c r="BC37" s="17" t="str">
        <f t="shared" si="92"/>
        <v/>
      </c>
      <c r="BD37" s="17" t="str">
        <f t="shared" si="92"/>
        <v/>
      </c>
      <c r="BE37" s="17" t="str">
        <f t="shared" si="92"/>
        <v/>
      </c>
      <c r="BF37" s="17" t="str">
        <f t="shared" si="92"/>
        <v/>
      </c>
      <c r="BG37" s="17" t="str">
        <f t="shared" si="92"/>
        <v/>
      </c>
      <c r="BH37" s="17" t="str">
        <f t="shared" si="92"/>
        <v/>
      </c>
      <c r="BI37" s="17" t="str">
        <f t="shared" si="92"/>
        <v/>
      </c>
      <c r="BJ37" s="17" t="str">
        <f t="shared" si="92"/>
        <v/>
      </c>
      <c r="BK37" s="17" t="str">
        <f t="shared" si="93"/>
        <v/>
      </c>
      <c r="BL37" s="17" t="str">
        <f t="shared" si="93"/>
        <v/>
      </c>
      <c r="BM37" s="17" t="str">
        <f t="shared" si="93"/>
        <v/>
      </c>
      <c r="BN37" s="17" t="str">
        <f t="shared" si="93"/>
        <v/>
      </c>
      <c r="BO37" s="17" t="str">
        <f t="shared" si="93"/>
        <v/>
      </c>
      <c r="BP37" s="17" t="str">
        <f t="shared" si="93"/>
        <v/>
      </c>
      <c r="BQ37" s="17" t="str">
        <f t="shared" si="93"/>
        <v/>
      </c>
      <c r="BR37" s="17" t="str">
        <f t="shared" si="93"/>
        <v/>
      </c>
      <c r="BS37" s="17" t="str">
        <f t="shared" si="93"/>
        <v/>
      </c>
      <c r="BT37" s="17" t="str">
        <f t="shared" si="93"/>
        <v/>
      </c>
      <c r="BU37" s="17" t="str">
        <f t="shared" si="93"/>
        <v/>
      </c>
      <c r="BV37" s="17" t="str">
        <f t="shared" si="93"/>
        <v/>
      </c>
      <c r="BW37" s="17" t="str">
        <f t="shared" si="93"/>
        <v/>
      </c>
      <c r="BX37" s="17" t="str">
        <f t="shared" si="88"/>
        <v/>
      </c>
      <c r="BY37" s="17" t="str">
        <f t="shared" si="88"/>
        <v/>
      </c>
      <c r="BZ37" s="17" t="str">
        <f t="shared" si="88"/>
        <v/>
      </c>
      <c r="CA37" s="17" t="str">
        <f t="shared" si="88"/>
        <v/>
      </c>
      <c r="CB37" s="17" t="str">
        <f t="shared" si="88"/>
        <v/>
      </c>
      <c r="CC37" s="17" t="str">
        <f t="shared" si="88"/>
        <v/>
      </c>
      <c r="CD37" s="17" t="str">
        <f t="shared" si="88"/>
        <v/>
      </c>
      <c r="CE37" s="17" t="str">
        <f t="shared" si="88"/>
        <v/>
      </c>
      <c r="CF37" s="17" t="str">
        <f t="shared" si="88"/>
        <v/>
      </c>
      <c r="CG37" s="17" t="str">
        <f t="shared" si="88"/>
        <v/>
      </c>
      <c r="CH37" s="17" t="str">
        <f t="shared" si="88"/>
        <v/>
      </c>
      <c r="CI37" s="17" t="str">
        <f t="shared" si="89"/>
        <v/>
      </c>
      <c r="CJ37" s="17" t="str">
        <f t="shared" si="89"/>
        <v/>
      </c>
      <c r="CK37" s="17" t="str">
        <f t="shared" si="89"/>
        <v/>
      </c>
      <c r="CL37" s="17" t="str">
        <f t="shared" si="89"/>
        <v/>
      </c>
      <c r="CM37" s="17" t="str">
        <f t="shared" si="89"/>
        <v/>
      </c>
      <c r="CN37" s="17" t="str">
        <f t="shared" si="89"/>
        <v/>
      </c>
      <c r="CO37" s="17" t="str">
        <f t="shared" si="89"/>
        <v/>
      </c>
      <c r="CP37" s="17" t="str">
        <f t="shared" si="89"/>
        <v/>
      </c>
      <c r="CQ37" s="17" t="str">
        <f t="shared" si="89"/>
        <v/>
      </c>
      <c r="CR37" s="17" t="str">
        <f t="shared" si="89"/>
        <v/>
      </c>
      <c r="CS37" s="17" t="str">
        <f t="shared" si="89"/>
        <v/>
      </c>
      <c r="CT37" s="17" t="str">
        <f t="shared" si="89"/>
        <v/>
      </c>
      <c r="CU37" s="17" t="str">
        <f t="shared" si="89"/>
        <v/>
      </c>
      <c r="CV37" s="17" t="str">
        <f t="shared" si="85"/>
        <v/>
      </c>
      <c r="CW37" s="17" t="str">
        <f t="shared" si="85"/>
        <v/>
      </c>
      <c r="CX37" s="17" t="str">
        <f t="shared" si="85"/>
        <v/>
      </c>
      <c r="CY37" s="17" t="str">
        <f t="shared" si="85"/>
        <v/>
      </c>
      <c r="CZ37" s="17" t="str">
        <f t="shared" si="85"/>
        <v/>
      </c>
      <c r="DA37" s="17" t="str">
        <f t="shared" si="85"/>
        <v/>
      </c>
      <c r="DB37" s="17" t="str">
        <f t="shared" si="85"/>
        <v/>
      </c>
      <c r="DC37" s="17" t="str">
        <f t="shared" si="85"/>
        <v/>
      </c>
      <c r="DE37" s="23">
        <f t="shared" si="90"/>
        <v>0</v>
      </c>
      <c r="DF37" s="23">
        <f t="shared" si="91"/>
        <v>0</v>
      </c>
    </row>
    <row r="38" spans="2:110" ht="15.75" x14ac:dyDescent="0.25">
      <c r="B38" s="28">
        <f t="shared" si="95"/>
        <v>30</v>
      </c>
      <c r="C38" s="55" t="s">
        <v>107</v>
      </c>
      <c r="D38" s="31">
        <v>1</v>
      </c>
      <c r="E38" s="32">
        <v>29</v>
      </c>
      <c r="F38" s="31" t="s">
        <v>60</v>
      </c>
      <c r="G38" s="33">
        <v>0</v>
      </c>
      <c r="H38" s="29">
        <f t="shared" si="73"/>
        <v>45979</v>
      </c>
      <c r="I38" s="29">
        <f t="shared" si="86"/>
        <v>45979</v>
      </c>
      <c r="J38" s="58" t="s">
        <v>127</v>
      </c>
      <c r="K38" s="31" t="s">
        <v>9</v>
      </c>
      <c r="L38" s="34"/>
      <c r="M38" s="30" t="str">
        <f t="shared" si="87"/>
        <v/>
      </c>
      <c r="O38" s="16" t="str">
        <f t="shared" si="94"/>
        <v/>
      </c>
      <c r="P38" s="17" t="str">
        <f t="shared" si="94"/>
        <v/>
      </c>
      <c r="Q38" s="17" t="str">
        <f t="shared" si="94"/>
        <v/>
      </c>
      <c r="R38" s="17" t="str">
        <f t="shared" si="94"/>
        <v/>
      </c>
      <c r="S38" s="17" t="str">
        <f t="shared" si="94"/>
        <v/>
      </c>
      <c r="T38" s="17" t="str">
        <f t="shared" si="94"/>
        <v/>
      </c>
      <c r="U38" s="17" t="str">
        <f t="shared" si="94"/>
        <v/>
      </c>
      <c r="V38" s="17" t="str">
        <f t="shared" si="94"/>
        <v/>
      </c>
      <c r="W38" s="17" t="str">
        <f t="shared" si="94"/>
        <v/>
      </c>
      <c r="X38" s="17" t="str">
        <f t="shared" si="94"/>
        <v/>
      </c>
      <c r="Y38" s="17" t="str">
        <f t="shared" si="94"/>
        <v/>
      </c>
      <c r="Z38" s="17" t="str">
        <f t="shared" si="94"/>
        <v/>
      </c>
      <c r="AA38" s="17" t="str">
        <f t="shared" si="94"/>
        <v/>
      </c>
      <c r="AB38" s="17" t="str">
        <f t="shared" si="94"/>
        <v>x</v>
      </c>
      <c r="AC38" s="17" t="str">
        <f t="shared" si="94"/>
        <v/>
      </c>
      <c r="AD38" s="17" t="str">
        <f t="shared" si="94"/>
        <v/>
      </c>
      <c r="AE38" s="17" t="str">
        <f t="shared" si="96"/>
        <v/>
      </c>
      <c r="AF38" s="17" t="str">
        <f t="shared" si="96"/>
        <v/>
      </c>
      <c r="AG38" s="17" t="str">
        <f t="shared" si="96"/>
        <v/>
      </c>
      <c r="AH38" s="17" t="str">
        <f t="shared" si="96"/>
        <v/>
      </c>
      <c r="AI38" s="17" t="str">
        <f t="shared" si="96"/>
        <v/>
      </c>
      <c r="AJ38" s="17" t="str">
        <f t="shared" si="96"/>
        <v/>
      </c>
      <c r="AK38" s="17" t="str">
        <f t="shared" si="96"/>
        <v/>
      </c>
      <c r="AL38" s="17" t="str">
        <f t="shared" si="96"/>
        <v/>
      </c>
      <c r="AM38" s="17" t="str">
        <f t="shared" si="96"/>
        <v/>
      </c>
      <c r="AN38" s="17" t="str">
        <f t="shared" si="96"/>
        <v/>
      </c>
      <c r="AO38" s="17" t="str">
        <f t="shared" si="96"/>
        <v/>
      </c>
      <c r="AP38" s="17" t="str">
        <f t="shared" si="96"/>
        <v/>
      </c>
      <c r="AQ38" s="17" t="str">
        <f t="shared" si="96"/>
        <v/>
      </c>
      <c r="AR38" s="17" t="str">
        <f t="shared" si="96"/>
        <v/>
      </c>
      <c r="AS38" s="17" t="str">
        <f t="shared" si="96"/>
        <v/>
      </c>
      <c r="AT38" s="17" t="str">
        <f t="shared" si="96"/>
        <v/>
      </c>
      <c r="AU38" s="17" t="str">
        <f t="shared" si="92"/>
        <v/>
      </c>
      <c r="AV38" s="17" t="str">
        <f t="shared" si="92"/>
        <v/>
      </c>
      <c r="AW38" s="17" t="str">
        <f t="shared" si="92"/>
        <v/>
      </c>
      <c r="AX38" s="17" t="str">
        <f t="shared" si="92"/>
        <v/>
      </c>
      <c r="AY38" s="17" t="str">
        <f t="shared" si="92"/>
        <v/>
      </c>
      <c r="AZ38" s="17" t="str">
        <f t="shared" si="92"/>
        <v/>
      </c>
      <c r="BA38" s="17" t="str">
        <f t="shared" si="92"/>
        <v/>
      </c>
      <c r="BB38" s="17" t="str">
        <f t="shared" si="92"/>
        <v/>
      </c>
      <c r="BC38" s="17" t="str">
        <f t="shared" si="92"/>
        <v/>
      </c>
      <c r="BD38" s="17" t="str">
        <f t="shared" si="92"/>
        <v/>
      </c>
      <c r="BE38" s="17" t="str">
        <f t="shared" si="92"/>
        <v/>
      </c>
      <c r="BF38" s="17" t="str">
        <f t="shared" si="92"/>
        <v/>
      </c>
      <c r="BG38" s="17" t="str">
        <f t="shared" si="92"/>
        <v/>
      </c>
      <c r="BH38" s="17" t="str">
        <f t="shared" si="92"/>
        <v/>
      </c>
      <c r="BI38" s="17" t="str">
        <f t="shared" si="92"/>
        <v/>
      </c>
      <c r="BJ38" s="17" t="str">
        <f t="shared" si="92"/>
        <v/>
      </c>
      <c r="BK38" s="17" t="str">
        <f t="shared" si="93"/>
        <v/>
      </c>
      <c r="BL38" s="17" t="str">
        <f t="shared" si="93"/>
        <v/>
      </c>
      <c r="BM38" s="17" t="str">
        <f t="shared" si="93"/>
        <v/>
      </c>
      <c r="BN38" s="17" t="str">
        <f t="shared" si="93"/>
        <v/>
      </c>
      <c r="BO38" s="17" t="str">
        <f t="shared" si="93"/>
        <v/>
      </c>
      <c r="BP38" s="17" t="str">
        <f t="shared" si="93"/>
        <v/>
      </c>
      <c r="BQ38" s="17" t="str">
        <f t="shared" si="93"/>
        <v/>
      </c>
      <c r="BR38" s="17" t="str">
        <f t="shared" si="93"/>
        <v/>
      </c>
      <c r="BS38" s="17" t="str">
        <f t="shared" si="93"/>
        <v/>
      </c>
      <c r="BT38" s="17" t="str">
        <f t="shared" si="93"/>
        <v/>
      </c>
      <c r="BU38" s="17" t="str">
        <f t="shared" si="93"/>
        <v/>
      </c>
      <c r="BV38" s="17" t="str">
        <f t="shared" si="93"/>
        <v/>
      </c>
      <c r="BW38" s="17" t="str">
        <f t="shared" si="93"/>
        <v/>
      </c>
      <c r="BX38" s="17" t="str">
        <f t="shared" si="88"/>
        <v/>
      </c>
      <c r="BY38" s="17" t="str">
        <f t="shared" si="88"/>
        <v/>
      </c>
      <c r="BZ38" s="17" t="str">
        <f t="shared" si="88"/>
        <v/>
      </c>
      <c r="CA38" s="17" t="str">
        <f t="shared" si="88"/>
        <v/>
      </c>
      <c r="CB38" s="17" t="str">
        <f t="shared" si="88"/>
        <v/>
      </c>
      <c r="CC38" s="17" t="str">
        <f t="shared" si="88"/>
        <v/>
      </c>
      <c r="CD38" s="17" t="str">
        <f t="shared" si="88"/>
        <v/>
      </c>
      <c r="CE38" s="17" t="str">
        <f t="shared" si="88"/>
        <v/>
      </c>
      <c r="CF38" s="17" t="str">
        <f t="shared" si="88"/>
        <v/>
      </c>
      <c r="CG38" s="17" t="str">
        <f t="shared" si="88"/>
        <v/>
      </c>
      <c r="CH38" s="17" t="str">
        <f t="shared" si="88"/>
        <v/>
      </c>
      <c r="CI38" s="17" t="str">
        <f t="shared" si="89"/>
        <v/>
      </c>
      <c r="CJ38" s="17" t="str">
        <f t="shared" si="89"/>
        <v/>
      </c>
      <c r="CK38" s="17" t="str">
        <f t="shared" si="89"/>
        <v/>
      </c>
      <c r="CL38" s="17" t="str">
        <f t="shared" si="89"/>
        <v/>
      </c>
      <c r="CM38" s="17" t="str">
        <f t="shared" si="89"/>
        <v/>
      </c>
      <c r="CN38" s="17" t="str">
        <f t="shared" si="89"/>
        <v/>
      </c>
      <c r="CO38" s="17" t="str">
        <f t="shared" si="89"/>
        <v/>
      </c>
      <c r="CP38" s="17" t="str">
        <f t="shared" si="89"/>
        <v/>
      </c>
      <c r="CQ38" s="17" t="str">
        <f t="shared" si="89"/>
        <v/>
      </c>
      <c r="CR38" s="17" t="str">
        <f t="shared" si="89"/>
        <v/>
      </c>
      <c r="CS38" s="17" t="str">
        <f t="shared" si="89"/>
        <v/>
      </c>
      <c r="CT38" s="17" t="str">
        <f t="shared" si="89"/>
        <v/>
      </c>
      <c r="CU38" s="17" t="str">
        <f t="shared" si="89"/>
        <v/>
      </c>
      <c r="CV38" s="17" t="str">
        <f t="shared" si="85"/>
        <v/>
      </c>
      <c r="CW38" s="17" t="str">
        <f t="shared" si="85"/>
        <v/>
      </c>
      <c r="CX38" s="17" t="str">
        <f t="shared" si="85"/>
        <v/>
      </c>
      <c r="CY38" s="17" t="str">
        <f t="shared" si="85"/>
        <v/>
      </c>
      <c r="CZ38" s="17" t="str">
        <f t="shared" si="85"/>
        <v/>
      </c>
      <c r="DA38" s="17" t="str">
        <f t="shared" si="85"/>
        <v/>
      </c>
      <c r="DB38" s="17" t="str">
        <f t="shared" si="85"/>
        <v/>
      </c>
      <c r="DC38" s="17" t="str">
        <f t="shared" si="85"/>
        <v/>
      </c>
      <c r="DE38" s="23">
        <f t="shared" si="90"/>
        <v>0</v>
      </c>
      <c r="DF38" s="23">
        <f t="shared" si="91"/>
        <v>0</v>
      </c>
    </row>
    <row r="39" spans="2:110" ht="15.75" x14ac:dyDescent="0.25">
      <c r="B39" s="28">
        <f t="shared" si="95"/>
        <v>31</v>
      </c>
      <c r="C39" s="55" t="s">
        <v>108</v>
      </c>
      <c r="D39" s="31">
        <v>1</v>
      </c>
      <c r="E39" s="32">
        <v>30</v>
      </c>
      <c r="F39" s="31" t="s">
        <v>60</v>
      </c>
      <c r="G39" s="33">
        <v>1</v>
      </c>
      <c r="H39" s="29">
        <f t="shared" si="73"/>
        <v>45980</v>
      </c>
      <c r="I39" s="29">
        <f t="shared" si="86"/>
        <v>45980</v>
      </c>
      <c r="J39" s="58" t="s">
        <v>127</v>
      </c>
      <c r="K39" s="31" t="s">
        <v>9</v>
      </c>
      <c r="L39" s="34"/>
      <c r="M39" s="30" t="str">
        <f t="shared" si="87"/>
        <v/>
      </c>
      <c r="O39" s="16" t="str">
        <f t="shared" si="94"/>
        <v/>
      </c>
      <c r="P39" s="17" t="str">
        <f t="shared" si="94"/>
        <v/>
      </c>
      <c r="Q39" s="17" t="str">
        <f t="shared" si="94"/>
        <v/>
      </c>
      <c r="R39" s="17" t="str">
        <f t="shared" si="94"/>
        <v/>
      </c>
      <c r="S39" s="17" t="str">
        <f t="shared" si="94"/>
        <v/>
      </c>
      <c r="T39" s="17" t="str">
        <f t="shared" si="94"/>
        <v/>
      </c>
      <c r="U39" s="17" t="str">
        <f t="shared" si="94"/>
        <v/>
      </c>
      <c r="V39" s="17" t="str">
        <f t="shared" si="94"/>
        <v/>
      </c>
      <c r="W39" s="17" t="str">
        <f t="shared" si="94"/>
        <v/>
      </c>
      <c r="X39" s="17" t="str">
        <f t="shared" si="94"/>
        <v/>
      </c>
      <c r="Y39" s="17" t="str">
        <f t="shared" si="94"/>
        <v/>
      </c>
      <c r="Z39" s="17" t="str">
        <f t="shared" si="94"/>
        <v/>
      </c>
      <c r="AA39" s="17" t="str">
        <f t="shared" si="94"/>
        <v/>
      </c>
      <c r="AB39" s="17" t="str">
        <f t="shared" si="94"/>
        <v/>
      </c>
      <c r="AC39" s="17" t="str">
        <f t="shared" si="94"/>
        <v>x</v>
      </c>
      <c r="AD39" s="17" t="str">
        <f t="shared" si="94"/>
        <v/>
      </c>
      <c r="AE39" s="17" t="str">
        <f t="shared" si="96"/>
        <v/>
      </c>
      <c r="AF39" s="17" t="str">
        <f t="shared" si="96"/>
        <v/>
      </c>
      <c r="AG39" s="17" t="str">
        <f t="shared" si="96"/>
        <v/>
      </c>
      <c r="AH39" s="17" t="str">
        <f t="shared" si="96"/>
        <v/>
      </c>
      <c r="AI39" s="17" t="str">
        <f t="shared" si="96"/>
        <v/>
      </c>
      <c r="AJ39" s="17" t="str">
        <f t="shared" si="96"/>
        <v/>
      </c>
      <c r="AK39" s="17" t="str">
        <f t="shared" si="96"/>
        <v/>
      </c>
      <c r="AL39" s="17" t="str">
        <f t="shared" si="96"/>
        <v/>
      </c>
      <c r="AM39" s="17" t="str">
        <f t="shared" si="96"/>
        <v/>
      </c>
      <c r="AN39" s="17" t="str">
        <f t="shared" si="96"/>
        <v/>
      </c>
      <c r="AO39" s="17" t="str">
        <f t="shared" si="96"/>
        <v/>
      </c>
      <c r="AP39" s="17" t="str">
        <f t="shared" si="96"/>
        <v/>
      </c>
      <c r="AQ39" s="17" t="str">
        <f t="shared" si="96"/>
        <v/>
      </c>
      <c r="AR39" s="17" t="str">
        <f t="shared" si="96"/>
        <v/>
      </c>
      <c r="AS39" s="17" t="str">
        <f t="shared" si="96"/>
        <v/>
      </c>
      <c r="AT39" s="17" t="str">
        <f t="shared" si="96"/>
        <v/>
      </c>
      <c r="AU39" s="17" t="str">
        <f t="shared" si="92"/>
        <v/>
      </c>
      <c r="AV39" s="17" t="str">
        <f t="shared" si="92"/>
        <v/>
      </c>
      <c r="AW39" s="17" t="str">
        <f t="shared" si="92"/>
        <v/>
      </c>
      <c r="AX39" s="17" t="str">
        <f t="shared" si="92"/>
        <v/>
      </c>
      <c r="AY39" s="17" t="str">
        <f t="shared" si="92"/>
        <v/>
      </c>
      <c r="AZ39" s="17" t="str">
        <f t="shared" si="92"/>
        <v/>
      </c>
      <c r="BA39" s="17" t="str">
        <f t="shared" si="92"/>
        <v/>
      </c>
      <c r="BB39" s="17" t="str">
        <f t="shared" si="92"/>
        <v/>
      </c>
      <c r="BC39" s="17" t="str">
        <f t="shared" si="92"/>
        <v/>
      </c>
      <c r="BD39" s="17" t="str">
        <f t="shared" si="92"/>
        <v/>
      </c>
      <c r="BE39" s="17" t="str">
        <f t="shared" si="92"/>
        <v/>
      </c>
      <c r="BF39" s="17" t="str">
        <f t="shared" si="92"/>
        <v/>
      </c>
      <c r="BG39" s="17" t="str">
        <f t="shared" si="92"/>
        <v/>
      </c>
      <c r="BH39" s="17" t="str">
        <f t="shared" si="92"/>
        <v/>
      </c>
      <c r="BI39" s="17" t="str">
        <f t="shared" si="92"/>
        <v/>
      </c>
      <c r="BJ39" s="17" t="str">
        <f t="shared" si="92"/>
        <v/>
      </c>
      <c r="BK39" s="17" t="str">
        <f t="shared" si="93"/>
        <v/>
      </c>
      <c r="BL39" s="17" t="str">
        <f t="shared" si="93"/>
        <v/>
      </c>
      <c r="BM39" s="17" t="str">
        <f t="shared" si="93"/>
        <v/>
      </c>
      <c r="BN39" s="17" t="str">
        <f t="shared" si="93"/>
        <v/>
      </c>
      <c r="BO39" s="17" t="str">
        <f t="shared" si="93"/>
        <v/>
      </c>
      <c r="BP39" s="17" t="str">
        <f t="shared" si="93"/>
        <v/>
      </c>
      <c r="BQ39" s="17" t="str">
        <f t="shared" si="93"/>
        <v/>
      </c>
      <c r="BR39" s="17" t="str">
        <f t="shared" si="93"/>
        <v/>
      </c>
      <c r="BS39" s="17" t="str">
        <f t="shared" si="93"/>
        <v/>
      </c>
      <c r="BT39" s="17" t="str">
        <f t="shared" si="93"/>
        <v/>
      </c>
      <c r="BU39" s="17" t="str">
        <f t="shared" si="93"/>
        <v/>
      </c>
      <c r="BV39" s="17" t="str">
        <f t="shared" si="93"/>
        <v/>
      </c>
      <c r="BW39" s="17" t="str">
        <f t="shared" si="93"/>
        <v/>
      </c>
      <c r="BX39" s="17" t="str">
        <f t="shared" si="88"/>
        <v/>
      </c>
      <c r="BY39" s="17" t="str">
        <f t="shared" si="88"/>
        <v/>
      </c>
      <c r="BZ39" s="17" t="str">
        <f t="shared" si="88"/>
        <v/>
      </c>
      <c r="CA39" s="17" t="str">
        <f t="shared" si="88"/>
        <v/>
      </c>
      <c r="CB39" s="17" t="str">
        <f t="shared" si="88"/>
        <v/>
      </c>
      <c r="CC39" s="17" t="str">
        <f t="shared" si="88"/>
        <v/>
      </c>
      <c r="CD39" s="17" t="str">
        <f t="shared" si="88"/>
        <v/>
      </c>
      <c r="CE39" s="17" t="str">
        <f t="shared" si="88"/>
        <v/>
      </c>
      <c r="CF39" s="17" t="str">
        <f t="shared" si="88"/>
        <v/>
      </c>
      <c r="CG39" s="17" t="str">
        <f t="shared" si="88"/>
        <v/>
      </c>
      <c r="CH39" s="17" t="str">
        <f t="shared" si="88"/>
        <v/>
      </c>
      <c r="CI39" s="17" t="str">
        <f t="shared" si="89"/>
        <v/>
      </c>
      <c r="CJ39" s="17" t="str">
        <f t="shared" si="89"/>
        <v/>
      </c>
      <c r="CK39" s="17" t="str">
        <f t="shared" si="89"/>
        <v/>
      </c>
      <c r="CL39" s="17" t="str">
        <f t="shared" si="89"/>
        <v/>
      </c>
      <c r="CM39" s="17" t="str">
        <f t="shared" si="89"/>
        <v/>
      </c>
      <c r="CN39" s="17" t="str">
        <f t="shared" si="89"/>
        <v/>
      </c>
      <c r="CO39" s="17" t="str">
        <f t="shared" si="89"/>
        <v/>
      </c>
      <c r="CP39" s="17" t="str">
        <f t="shared" si="89"/>
        <v/>
      </c>
      <c r="CQ39" s="17" t="str">
        <f t="shared" si="89"/>
        <v/>
      </c>
      <c r="CR39" s="17" t="str">
        <f t="shared" si="89"/>
        <v/>
      </c>
      <c r="CS39" s="17" t="str">
        <f t="shared" si="89"/>
        <v/>
      </c>
      <c r="CT39" s="17" t="str">
        <f t="shared" si="89"/>
        <v/>
      </c>
      <c r="CU39" s="17" t="str">
        <f t="shared" si="89"/>
        <v/>
      </c>
      <c r="CV39" s="17" t="str">
        <f t="shared" si="85"/>
        <v/>
      </c>
      <c r="CW39" s="17" t="str">
        <f t="shared" si="85"/>
        <v/>
      </c>
      <c r="CX39" s="17" t="str">
        <f t="shared" si="85"/>
        <v/>
      </c>
      <c r="CY39" s="17" t="str">
        <f t="shared" si="85"/>
        <v/>
      </c>
      <c r="CZ39" s="17" t="str">
        <f t="shared" si="85"/>
        <v/>
      </c>
      <c r="DA39" s="17" t="str">
        <f t="shared" si="85"/>
        <v/>
      </c>
      <c r="DB39" s="17" t="str">
        <f t="shared" si="85"/>
        <v/>
      </c>
      <c r="DC39" s="17" t="str">
        <f t="shared" si="85"/>
        <v/>
      </c>
      <c r="DE39" s="23">
        <f t="shared" si="90"/>
        <v>0</v>
      </c>
      <c r="DF39" s="23">
        <f t="shared" si="91"/>
        <v>0</v>
      </c>
    </row>
    <row r="40" spans="2:110" ht="15.75" x14ac:dyDescent="0.25">
      <c r="B40" s="28">
        <f t="shared" si="95"/>
        <v>32</v>
      </c>
      <c r="C40" s="55" t="s">
        <v>109</v>
      </c>
      <c r="D40" s="31">
        <v>1</v>
      </c>
      <c r="E40" s="32">
        <v>31</v>
      </c>
      <c r="F40" s="31" t="s">
        <v>60</v>
      </c>
      <c r="G40" s="33">
        <v>0</v>
      </c>
      <c r="H40" s="29">
        <f t="shared" si="73"/>
        <v>45980</v>
      </c>
      <c r="I40" s="29">
        <f t="shared" si="86"/>
        <v>45980</v>
      </c>
      <c r="J40" s="58" t="s">
        <v>127</v>
      </c>
      <c r="K40" s="31" t="s">
        <v>9</v>
      </c>
      <c r="L40" s="34"/>
      <c r="M40" s="30" t="str">
        <f t="shared" si="87"/>
        <v/>
      </c>
      <c r="O40" s="16" t="str">
        <f t="shared" si="94"/>
        <v/>
      </c>
      <c r="P40" s="17" t="str">
        <f t="shared" si="94"/>
        <v/>
      </c>
      <c r="Q40" s="17" t="str">
        <f t="shared" si="94"/>
        <v/>
      </c>
      <c r="R40" s="17" t="str">
        <f t="shared" si="94"/>
        <v/>
      </c>
      <c r="S40" s="17" t="str">
        <f t="shared" si="94"/>
        <v/>
      </c>
      <c r="T40" s="17" t="str">
        <f t="shared" si="94"/>
        <v/>
      </c>
      <c r="U40" s="17" t="str">
        <f t="shared" si="94"/>
        <v/>
      </c>
      <c r="V40" s="17" t="str">
        <f t="shared" si="94"/>
        <v/>
      </c>
      <c r="W40" s="17" t="str">
        <f t="shared" si="94"/>
        <v/>
      </c>
      <c r="X40" s="17" t="str">
        <f t="shared" si="94"/>
        <v/>
      </c>
      <c r="Y40" s="17" t="str">
        <f t="shared" si="94"/>
        <v/>
      </c>
      <c r="Z40" s="17" t="str">
        <f t="shared" si="94"/>
        <v/>
      </c>
      <c r="AA40" s="17" t="str">
        <f t="shared" si="94"/>
        <v/>
      </c>
      <c r="AB40" s="17" t="str">
        <f t="shared" si="94"/>
        <v/>
      </c>
      <c r="AC40" s="17" t="str">
        <f t="shared" si="94"/>
        <v>x</v>
      </c>
      <c r="AD40" s="17" t="str">
        <f t="shared" si="94"/>
        <v/>
      </c>
      <c r="AE40" s="17" t="str">
        <f t="shared" si="96"/>
        <v/>
      </c>
      <c r="AF40" s="17" t="str">
        <f t="shared" si="96"/>
        <v/>
      </c>
      <c r="AG40" s="17" t="str">
        <f t="shared" si="96"/>
        <v/>
      </c>
      <c r="AH40" s="17" t="str">
        <f t="shared" si="96"/>
        <v/>
      </c>
      <c r="AI40" s="17" t="str">
        <f t="shared" si="96"/>
        <v/>
      </c>
      <c r="AJ40" s="17" t="str">
        <f t="shared" si="96"/>
        <v/>
      </c>
      <c r="AK40" s="17" t="str">
        <f t="shared" si="96"/>
        <v/>
      </c>
      <c r="AL40" s="17" t="str">
        <f t="shared" si="96"/>
        <v/>
      </c>
      <c r="AM40" s="17" t="str">
        <f t="shared" si="96"/>
        <v/>
      </c>
      <c r="AN40" s="17" t="str">
        <f t="shared" si="96"/>
        <v/>
      </c>
      <c r="AO40" s="17" t="str">
        <f t="shared" si="96"/>
        <v/>
      </c>
      <c r="AP40" s="17" t="str">
        <f t="shared" si="96"/>
        <v/>
      </c>
      <c r="AQ40" s="17" t="str">
        <f t="shared" si="96"/>
        <v/>
      </c>
      <c r="AR40" s="17" t="str">
        <f t="shared" si="96"/>
        <v/>
      </c>
      <c r="AS40" s="17" t="str">
        <f t="shared" si="96"/>
        <v/>
      </c>
      <c r="AT40" s="17" t="str">
        <f t="shared" si="96"/>
        <v/>
      </c>
      <c r="AU40" s="17" t="str">
        <f t="shared" si="92"/>
        <v/>
      </c>
      <c r="AV40" s="17" t="str">
        <f t="shared" si="92"/>
        <v/>
      </c>
      <c r="AW40" s="17" t="str">
        <f t="shared" si="92"/>
        <v/>
      </c>
      <c r="AX40" s="17" t="str">
        <f t="shared" si="92"/>
        <v/>
      </c>
      <c r="AY40" s="17" t="str">
        <f t="shared" si="92"/>
        <v/>
      </c>
      <c r="AZ40" s="17" t="str">
        <f t="shared" si="92"/>
        <v/>
      </c>
      <c r="BA40" s="17" t="str">
        <f t="shared" si="92"/>
        <v/>
      </c>
      <c r="BB40" s="17" t="str">
        <f t="shared" si="92"/>
        <v/>
      </c>
      <c r="BC40" s="17" t="str">
        <f t="shared" si="92"/>
        <v/>
      </c>
      <c r="BD40" s="17" t="str">
        <f t="shared" si="92"/>
        <v/>
      </c>
      <c r="BE40" s="17" t="str">
        <f t="shared" si="92"/>
        <v/>
      </c>
      <c r="BF40" s="17" t="str">
        <f t="shared" si="92"/>
        <v/>
      </c>
      <c r="BG40" s="17" t="str">
        <f t="shared" si="92"/>
        <v/>
      </c>
      <c r="BH40" s="17" t="str">
        <f t="shared" si="92"/>
        <v/>
      </c>
      <c r="BI40" s="17" t="str">
        <f t="shared" si="92"/>
        <v/>
      </c>
      <c r="BJ40" s="17" t="str">
        <f t="shared" si="92"/>
        <v/>
      </c>
      <c r="BK40" s="17" t="str">
        <f t="shared" si="93"/>
        <v/>
      </c>
      <c r="BL40" s="17" t="str">
        <f t="shared" si="93"/>
        <v/>
      </c>
      <c r="BM40" s="17" t="str">
        <f t="shared" si="93"/>
        <v/>
      </c>
      <c r="BN40" s="17" t="str">
        <f t="shared" si="93"/>
        <v/>
      </c>
      <c r="BO40" s="17" t="str">
        <f t="shared" si="93"/>
        <v/>
      </c>
      <c r="BP40" s="17" t="str">
        <f t="shared" si="93"/>
        <v/>
      </c>
      <c r="BQ40" s="17" t="str">
        <f t="shared" si="93"/>
        <v/>
      </c>
      <c r="BR40" s="17" t="str">
        <f t="shared" si="93"/>
        <v/>
      </c>
      <c r="BS40" s="17" t="str">
        <f t="shared" si="93"/>
        <v/>
      </c>
      <c r="BT40" s="17" t="str">
        <f t="shared" si="93"/>
        <v/>
      </c>
      <c r="BU40" s="17" t="str">
        <f t="shared" si="93"/>
        <v/>
      </c>
      <c r="BV40" s="17" t="str">
        <f t="shared" si="93"/>
        <v/>
      </c>
      <c r="BW40" s="17" t="str">
        <f t="shared" si="93"/>
        <v/>
      </c>
      <c r="BX40" s="17" t="str">
        <f t="shared" si="88"/>
        <v/>
      </c>
      <c r="BY40" s="17" t="str">
        <f t="shared" si="88"/>
        <v/>
      </c>
      <c r="BZ40" s="17" t="str">
        <f t="shared" si="88"/>
        <v/>
      </c>
      <c r="CA40" s="17" t="str">
        <f t="shared" si="88"/>
        <v/>
      </c>
      <c r="CB40" s="17" t="str">
        <f t="shared" si="88"/>
        <v/>
      </c>
      <c r="CC40" s="17" t="str">
        <f t="shared" si="88"/>
        <v/>
      </c>
      <c r="CD40" s="17" t="str">
        <f t="shared" si="88"/>
        <v/>
      </c>
      <c r="CE40" s="17" t="str">
        <f t="shared" si="88"/>
        <v/>
      </c>
      <c r="CF40" s="17" t="str">
        <f t="shared" si="88"/>
        <v/>
      </c>
      <c r="CG40" s="17" t="str">
        <f t="shared" si="88"/>
        <v/>
      </c>
      <c r="CH40" s="17" t="str">
        <f t="shared" si="88"/>
        <v/>
      </c>
      <c r="CI40" s="17" t="str">
        <f t="shared" si="89"/>
        <v/>
      </c>
      <c r="CJ40" s="17" t="str">
        <f t="shared" si="89"/>
        <v/>
      </c>
      <c r="CK40" s="17" t="str">
        <f t="shared" si="89"/>
        <v/>
      </c>
      <c r="CL40" s="17" t="str">
        <f t="shared" si="89"/>
        <v/>
      </c>
      <c r="CM40" s="17" t="str">
        <f t="shared" si="89"/>
        <v/>
      </c>
      <c r="CN40" s="17" t="str">
        <f t="shared" si="89"/>
        <v/>
      </c>
      <c r="CO40" s="17" t="str">
        <f t="shared" si="89"/>
        <v/>
      </c>
      <c r="CP40" s="17" t="str">
        <f t="shared" si="89"/>
        <v/>
      </c>
      <c r="CQ40" s="17" t="str">
        <f t="shared" si="89"/>
        <v/>
      </c>
      <c r="CR40" s="17" t="str">
        <f t="shared" si="89"/>
        <v/>
      </c>
      <c r="CS40" s="17" t="str">
        <f t="shared" si="89"/>
        <v/>
      </c>
      <c r="CT40" s="17" t="str">
        <f t="shared" si="89"/>
        <v/>
      </c>
      <c r="CU40" s="17" t="str">
        <f t="shared" si="89"/>
        <v/>
      </c>
      <c r="CV40" s="17" t="str">
        <f t="shared" si="85"/>
        <v/>
      </c>
      <c r="CW40" s="17" t="str">
        <f t="shared" si="85"/>
        <v/>
      </c>
      <c r="CX40" s="17" t="str">
        <f t="shared" si="85"/>
        <v/>
      </c>
      <c r="CY40" s="17" t="str">
        <f t="shared" si="85"/>
        <v/>
      </c>
      <c r="CZ40" s="17" t="str">
        <f t="shared" si="85"/>
        <v/>
      </c>
      <c r="DA40" s="17" t="str">
        <f t="shared" si="85"/>
        <v/>
      </c>
      <c r="DB40" s="17" t="str">
        <f t="shared" si="85"/>
        <v/>
      </c>
      <c r="DC40" s="17" t="str">
        <f t="shared" si="85"/>
        <v/>
      </c>
      <c r="DE40" s="23">
        <f t="shared" si="90"/>
        <v>0</v>
      </c>
      <c r="DF40" s="23">
        <f t="shared" si="91"/>
        <v>0</v>
      </c>
    </row>
    <row r="41" spans="2:110" ht="15.75" x14ac:dyDescent="0.25">
      <c r="B41" s="28">
        <f t="shared" si="95"/>
        <v>33</v>
      </c>
      <c r="C41" s="56" t="s">
        <v>110</v>
      </c>
      <c r="D41" s="31">
        <v>3</v>
      </c>
      <c r="E41" s="32">
        <v>28</v>
      </c>
      <c r="F41" s="31" t="s">
        <v>60</v>
      </c>
      <c r="G41" s="33">
        <v>1</v>
      </c>
      <c r="H41" s="29">
        <f t="shared" si="73"/>
        <v>45981</v>
      </c>
      <c r="I41" s="29">
        <f t="shared" ref="I41:I47" si="97">IF(H41="","",H41+D41-1)</f>
        <v>45983</v>
      </c>
      <c r="J41" s="58" t="s">
        <v>127</v>
      </c>
      <c r="K41" s="31" t="s">
        <v>9</v>
      </c>
      <c r="L41" s="34"/>
      <c r="M41" s="30" t="str">
        <f>IF(H41="","",IF(AND(K41="Completado",L41=""),"Completar fecha de finalización",IF(AND(K41="Completado",L41&lt;&gt;""),L41-H41+1,"")))</f>
        <v/>
      </c>
      <c r="O41" s="16" t="str">
        <f>IF(AND(O$8&gt;=$H41,O$8&lt;=$I41),"x","")</f>
        <v/>
      </c>
      <c r="P41" s="17" t="str">
        <f t="shared" si="94"/>
        <v/>
      </c>
      <c r="Q41" s="17" t="str">
        <f t="shared" si="94"/>
        <v/>
      </c>
      <c r="R41" s="17" t="str">
        <f t="shared" si="94"/>
        <v/>
      </c>
      <c r="S41" s="17" t="str">
        <f t="shared" si="94"/>
        <v/>
      </c>
      <c r="T41" s="17" t="str">
        <f t="shared" si="94"/>
        <v/>
      </c>
      <c r="U41" s="17" t="str">
        <f t="shared" si="94"/>
        <v/>
      </c>
      <c r="V41" s="17" t="str">
        <f t="shared" si="94"/>
        <v/>
      </c>
      <c r="W41" s="17" t="str">
        <f t="shared" si="94"/>
        <v/>
      </c>
      <c r="X41" s="17" t="str">
        <f t="shared" si="94"/>
        <v/>
      </c>
      <c r="Y41" s="17" t="str">
        <f t="shared" si="94"/>
        <v/>
      </c>
      <c r="Z41" s="17" t="str">
        <f t="shared" si="94"/>
        <v/>
      </c>
      <c r="AA41" s="17" t="str">
        <f t="shared" si="94"/>
        <v/>
      </c>
      <c r="AB41" s="17" t="str">
        <f t="shared" si="94"/>
        <v/>
      </c>
      <c r="AC41" s="17" t="str">
        <f t="shared" si="94"/>
        <v/>
      </c>
      <c r="AD41" s="17" t="str">
        <f t="shared" si="94"/>
        <v>x</v>
      </c>
      <c r="AE41" s="17" t="str">
        <f t="shared" si="96"/>
        <v>x</v>
      </c>
      <c r="AF41" s="17" t="str">
        <f t="shared" si="96"/>
        <v>x</v>
      </c>
      <c r="AG41" s="17" t="str">
        <f t="shared" si="96"/>
        <v/>
      </c>
      <c r="AH41" s="17" t="str">
        <f t="shared" si="96"/>
        <v/>
      </c>
      <c r="AI41" s="17" t="str">
        <f t="shared" si="96"/>
        <v/>
      </c>
      <c r="AJ41" s="17" t="str">
        <f t="shared" si="96"/>
        <v/>
      </c>
      <c r="AK41" s="17" t="str">
        <f t="shared" si="96"/>
        <v/>
      </c>
      <c r="AL41" s="17" t="str">
        <f t="shared" si="96"/>
        <v/>
      </c>
      <c r="AM41" s="17" t="str">
        <f t="shared" si="96"/>
        <v/>
      </c>
      <c r="AN41" s="17" t="str">
        <f t="shared" si="96"/>
        <v/>
      </c>
      <c r="AO41" s="17" t="str">
        <f t="shared" si="96"/>
        <v/>
      </c>
      <c r="AP41" s="17" t="str">
        <f t="shared" si="96"/>
        <v/>
      </c>
      <c r="AQ41" s="17" t="str">
        <f t="shared" si="96"/>
        <v/>
      </c>
      <c r="AR41" s="17" t="str">
        <f t="shared" si="96"/>
        <v/>
      </c>
      <c r="AS41" s="17" t="str">
        <f t="shared" si="96"/>
        <v/>
      </c>
      <c r="AT41" s="17" t="str">
        <f t="shared" si="96"/>
        <v/>
      </c>
      <c r="AU41" s="17" t="str">
        <f t="shared" si="92"/>
        <v/>
      </c>
      <c r="AV41" s="17" t="str">
        <f t="shared" si="92"/>
        <v/>
      </c>
      <c r="AW41" s="17" t="str">
        <f t="shared" si="92"/>
        <v/>
      </c>
      <c r="AX41" s="17" t="str">
        <f t="shared" si="92"/>
        <v/>
      </c>
      <c r="AY41" s="17" t="str">
        <f t="shared" si="92"/>
        <v/>
      </c>
      <c r="AZ41" s="17" t="str">
        <f t="shared" si="92"/>
        <v/>
      </c>
      <c r="BA41" s="17" t="str">
        <f t="shared" si="92"/>
        <v/>
      </c>
      <c r="BB41" s="17" t="str">
        <f t="shared" si="92"/>
        <v/>
      </c>
      <c r="BC41" s="17" t="str">
        <f t="shared" si="92"/>
        <v/>
      </c>
      <c r="BD41" s="17" t="str">
        <f t="shared" si="92"/>
        <v/>
      </c>
      <c r="BE41" s="17" t="str">
        <f t="shared" si="92"/>
        <v/>
      </c>
      <c r="BF41" s="17" t="str">
        <f t="shared" si="92"/>
        <v/>
      </c>
      <c r="BG41" s="17" t="str">
        <f t="shared" si="92"/>
        <v/>
      </c>
      <c r="BH41" s="17" t="str">
        <f t="shared" si="92"/>
        <v/>
      </c>
      <c r="BI41" s="17" t="str">
        <f t="shared" si="92"/>
        <v/>
      </c>
      <c r="BJ41" s="17" t="str">
        <f t="shared" si="92"/>
        <v/>
      </c>
      <c r="BK41" s="17" t="str">
        <f t="shared" si="93"/>
        <v/>
      </c>
      <c r="BL41" s="17" t="str">
        <f t="shared" si="93"/>
        <v/>
      </c>
      <c r="BM41" s="17" t="str">
        <f t="shared" si="93"/>
        <v/>
      </c>
      <c r="BN41" s="17" t="str">
        <f t="shared" si="93"/>
        <v/>
      </c>
      <c r="BO41" s="17" t="str">
        <f t="shared" si="93"/>
        <v/>
      </c>
      <c r="BP41" s="17" t="str">
        <f t="shared" si="93"/>
        <v/>
      </c>
      <c r="BQ41" s="17" t="str">
        <f t="shared" si="93"/>
        <v/>
      </c>
      <c r="BR41" s="17" t="str">
        <f t="shared" si="93"/>
        <v/>
      </c>
      <c r="BS41" s="17" t="str">
        <f t="shared" si="93"/>
        <v/>
      </c>
      <c r="BT41" s="17" t="str">
        <f t="shared" si="93"/>
        <v/>
      </c>
      <c r="BU41" s="17" t="str">
        <f t="shared" si="93"/>
        <v/>
      </c>
      <c r="BV41" s="17" t="str">
        <f t="shared" si="93"/>
        <v/>
      </c>
      <c r="BW41" s="17" t="str">
        <f t="shared" si="93"/>
        <v/>
      </c>
      <c r="BX41" s="17" t="str">
        <f t="shared" si="88"/>
        <v/>
      </c>
      <c r="BY41" s="17" t="str">
        <f t="shared" si="88"/>
        <v/>
      </c>
      <c r="BZ41" s="17" t="str">
        <f t="shared" si="88"/>
        <v/>
      </c>
      <c r="CA41" s="17" t="str">
        <f t="shared" si="88"/>
        <v/>
      </c>
      <c r="CB41" s="17" t="str">
        <f t="shared" si="88"/>
        <v/>
      </c>
      <c r="CC41" s="17" t="str">
        <f t="shared" si="88"/>
        <v/>
      </c>
      <c r="CD41" s="17" t="str">
        <f t="shared" si="88"/>
        <v/>
      </c>
      <c r="CE41" s="17" t="str">
        <f t="shared" si="88"/>
        <v/>
      </c>
      <c r="CF41" s="17" t="str">
        <f t="shared" si="88"/>
        <v/>
      </c>
      <c r="CG41" s="17" t="str">
        <f t="shared" si="88"/>
        <v/>
      </c>
      <c r="CH41" s="17" t="str">
        <f t="shared" si="88"/>
        <v/>
      </c>
      <c r="CI41" s="17" t="str">
        <f t="shared" si="89"/>
        <v/>
      </c>
      <c r="CJ41" s="17" t="str">
        <f t="shared" si="89"/>
        <v/>
      </c>
      <c r="CK41" s="17" t="str">
        <f t="shared" si="89"/>
        <v/>
      </c>
      <c r="CL41" s="17" t="str">
        <f t="shared" si="89"/>
        <v/>
      </c>
      <c r="CM41" s="17" t="str">
        <f t="shared" si="89"/>
        <v/>
      </c>
      <c r="CN41" s="17" t="str">
        <f t="shared" si="89"/>
        <v/>
      </c>
      <c r="CO41" s="17" t="str">
        <f t="shared" si="89"/>
        <v/>
      </c>
      <c r="CP41" s="17" t="str">
        <f t="shared" si="89"/>
        <v/>
      </c>
      <c r="CQ41" s="17" t="str">
        <f t="shared" si="89"/>
        <v/>
      </c>
      <c r="CR41" s="17" t="str">
        <f t="shared" si="89"/>
        <v/>
      </c>
      <c r="CS41" s="17" t="str">
        <f t="shared" si="89"/>
        <v/>
      </c>
      <c r="CT41" s="17" t="str">
        <f t="shared" si="89"/>
        <v/>
      </c>
      <c r="CU41" s="17" t="str">
        <f t="shared" si="89"/>
        <v/>
      </c>
      <c r="CV41" s="17" t="str">
        <f t="shared" si="89"/>
        <v/>
      </c>
      <c r="CW41" s="17" t="str">
        <f t="shared" si="89"/>
        <v/>
      </c>
      <c r="CX41" s="17" t="str">
        <f t="shared" si="89"/>
        <v/>
      </c>
      <c r="CY41" s="17" t="str">
        <f t="shared" ref="CV41:DC56" si="98">IF(AND(CY$8&gt;=$H41,CY$8&lt;=$I41),"x","")</f>
        <v/>
      </c>
      <c r="CZ41" s="17" t="str">
        <f t="shared" si="98"/>
        <v/>
      </c>
      <c r="DA41" s="17" t="str">
        <f t="shared" si="98"/>
        <v/>
      </c>
      <c r="DB41" s="17" t="str">
        <f t="shared" si="98"/>
        <v/>
      </c>
      <c r="DC41" s="17" t="str">
        <f t="shared" si="98"/>
        <v/>
      </c>
      <c r="DE41" s="23">
        <f t="shared" si="90"/>
        <v>0</v>
      </c>
      <c r="DF41" s="23">
        <f t="shared" si="91"/>
        <v>0</v>
      </c>
    </row>
    <row r="42" spans="2:110" ht="15.75" x14ac:dyDescent="0.25">
      <c r="B42" s="28">
        <f t="shared" si="95"/>
        <v>34</v>
      </c>
      <c r="C42" s="55" t="s">
        <v>72</v>
      </c>
      <c r="D42" s="31">
        <v>1</v>
      </c>
      <c r="E42" s="32">
        <v>32</v>
      </c>
      <c r="F42" s="31" t="s">
        <v>60</v>
      </c>
      <c r="G42" s="33">
        <v>0</v>
      </c>
      <c r="H42" s="29">
        <f t="shared" si="73"/>
        <v>45980</v>
      </c>
      <c r="I42" s="29">
        <f t="shared" si="97"/>
        <v>45980</v>
      </c>
      <c r="J42" s="58" t="s">
        <v>127</v>
      </c>
      <c r="K42" s="31" t="s">
        <v>9</v>
      </c>
      <c r="L42" s="34"/>
      <c r="M42" s="30" t="str">
        <f t="shared" si="87"/>
        <v/>
      </c>
      <c r="O42" s="16" t="str">
        <f t="shared" si="94"/>
        <v/>
      </c>
      <c r="P42" s="17" t="str">
        <f t="shared" si="94"/>
        <v/>
      </c>
      <c r="Q42" s="17" t="str">
        <f t="shared" si="94"/>
        <v/>
      </c>
      <c r="R42" s="17" t="str">
        <f t="shared" si="94"/>
        <v/>
      </c>
      <c r="S42" s="17" t="str">
        <f t="shared" si="94"/>
        <v/>
      </c>
      <c r="T42" s="17" t="str">
        <f t="shared" si="94"/>
        <v/>
      </c>
      <c r="U42" s="17" t="str">
        <f t="shared" si="94"/>
        <v/>
      </c>
      <c r="V42" s="17" t="str">
        <f t="shared" si="94"/>
        <v/>
      </c>
      <c r="W42" s="17" t="str">
        <f t="shared" si="94"/>
        <v/>
      </c>
      <c r="X42" s="17" t="str">
        <f t="shared" si="94"/>
        <v/>
      </c>
      <c r="Y42" s="17" t="str">
        <f t="shared" si="94"/>
        <v/>
      </c>
      <c r="Z42" s="17" t="str">
        <f t="shared" si="94"/>
        <v/>
      </c>
      <c r="AA42" s="17" t="str">
        <f t="shared" si="94"/>
        <v/>
      </c>
      <c r="AB42" s="17" t="str">
        <f t="shared" si="94"/>
        <v/>
      </c>
      <c r="AC42" s="17" t="str">
        <f t="shared" si="94"/>
        <v>x</v>
      </c>
      <c r="AD42" s="17" t="str">
        <f t="shared" si="94"/>
        <v/>
      </c>
      <c r="AE42" s="17" t="str">
        <f t="shared" si="96"/>
        <v/>
      </c>
      <c r="AF42" s="17" t="str">
        <f t="shared" si="96"/>
        <v/>
      </c>
      <c r="AG42" s="17" t="str">
        <f t="shared" si="96"/>
        <v/>
      </c>
      <c r="AH42" s="17" t="str">
        <f t="shared" si="96"/>
        <v/>
      </c>
      <c r="AI42" s="17" t="str">
        <f t="shared" si="96"/>
        <v/>
      </c>
      <c r="AJ42" s="17" t="str">
        <f t="shared" si="96"/>
        <v/>
      </c>
      <c r="AK42" s="17" t="str">
        <f t="shared" si="96"/>
        <v/>
      </c>
      <c r="AL42" s="17" t="str">
        <f t="shared" si="96"/>
        <v/>
      </c>
      <c r="AM42" s="17" t="str">
        <f t="shared" si="96"/>
        <v/>
      </c>
      <c r="AN42" s="17" t="str">
        <f t="shared" si="96"/>
        <v/>
      </c>
      <c r="AO42" s="17" t="str">
        <f t="shared" si="96"/>
        <v/>
      </c>
      <c r="AP42" s="17" t="str">
        <f t="shared" si="96"/>
        <v/>
      </c>
      <c r="AQ42" s="17" t="str">
        <f t="shared" si="96"/>
        <v/>
      </c>
      <c r="AR42" s="17" t="str">
        <f t="shared" si="96"/>
        <v/>
      </c>
      <c r="AS42" s="17" t="str">
        <f t="shared" si="96"/>
        <v/>
      </c>
      <c r="AT42" s="17" t="str">
        <f t="shared" si="96"/>
        <v/>
      </c>
      <c r="AU42" s="17" t="str">
        <f t="shared" si="92"/>
        <v/>
      </c>
      <c r="AV42" s="17" t="str">
        <f t="shared" si="92"/>
        <v/>
      </c>
      <c r="AW42" s="17" t="str">
        <f t="shared" si="92"/>
        <v/>
      </c>
      <c r="AX42" s="17" t="str">
        <f t="shared" si="92"/>
        <v/>
      </c>
      <c r="AY42" s="17" t="str">
        <f t="shared" si="92"/>
        <v/>
      </c>
      <c r="AZ42" s="17" t="str">
        <f t="shared" si="92"/>
        <v/>
      </c>
      <c r="BA42" s="17" t="str">
        <f t="shared" si="92"/>
        <v/>
      </c>
      <c r="BB42" s="17" t="str">
        <f t="shared" si="92"/>
        <v/>
      </c>
      <c r="BC42" s="17" t="str">
        <f t="shared" si="92"/>
        <v/>
      </c>
      <c r="BD42" s="17" t="str">
        <f t="shared" si="92"/>
        <v/>
      </c>
      <c r="BE42" s="17" t="str">
        <f t="shared" si="92"/>
        <v/>
      </c>
      <c r="BF42" s="17" t="str">
        <f t="shared" si="92"/>
        <v/>
      </c>
      <c r="BG42" s="17" t="str">
        <f t="shared" si="92"/>
        <v/>
      </c>
      <c r="BH42" s="17" t="str">
        <f t="shared" si="92"/>
        <v/>
      </c>
      <c r="BI42" s="17" t="str">
        <f t="shared" si="92"/>
        <v/>
      </c>
      <c r="BJ42" s="17" t="str">
        <f t="shared" ref="BJ42:BW57" si="99">IF(AND(BJ$8&gt;=$H42,BJ$8&lt;=$I42),"x","")</f>
        <v/>
      </c>
      <c r="BK42" s="17" t="str">
        <f t="shared" si="99"/>
        <v/>
      </c>
      <c r="BL42" s="17" t="str">
        <f t="shared" si="99"/>
        <v/>
      </c>
      <c r="BM42" s="17" t="str">
        <f t="shared" si="99"/>
        <v/>
      </c>
      <c r="BN42" s="17" t="str">
        <f t="shared" si="99"/>
        <v/>
      </c>
      <c r="BO42" s="17" t="str">
        <f t="shared" si="99"/>
        <v/>
      </c>
      <c r="BP42" s="17" t="str">
        <f t="shared" si="99"/>
        <v/>
      </c>
      <c r="BQ42" s="17" t="str">
        <f t="shared" si="99"/>
        <v/>
      </c>
      <c r="BR42" s="17" t="str">
        <f t="shared" si="99"/>
        <v/>
      </c>
      <c r="BS42" s="17" t="str">
        <f t="shared" si="99"/>
        <v/>
      </c>
      <c r="BT42" s="17" t="str">
        <f t="shared" si="99"/>
        <v/>
      </c>
      <c r="BU42" s="17" t="str">
        <f t="shared" si="99"/>
        <v/>
      </c>
      <c r="BV42" s="17" t="str">
        <f t="shared" si="99"/>
        <v/>
      </c>
      <c r="BW42" s="17" t="str">
        <f t="shared" si="99"/>
        <v/>
      </c>
      <c r="BX42" s="17" t="str">
        <f t="shared" si="88"/>
        <v/>
      </c>
      <c r="BY42" s="17" t="str">
        <f t="shared" si="88"/>
        <v/>
      </c>
      <c r="BZ42" s="17" t="str">
        <f t="shared" si="88"/>
        <v/>
      </c>
      <c r="CA42" s="17" t="str">
        <f t="shared" si="88"/>
        <v/>
      </c>
      <c r="CB42" s="17" t="str">
        <f t="shared" si="88"/>
        <v/>
      </c>
      <c r="CC42" s="17" t="str">
        <f t="shared" si="88"/>
        <v/>
      </c>
      <c r="CD42" s="17" t="str">
        <f t="shared" si="88"/>
        <v/>
      </c>
      <c r="CE42" s="17" t="str">
        <f t="shared" si="88"/>
        <v/>
      </c>
      <c r="CF42" s="17" t="str">
        <f t="shared" si="88"/>
        <v/>
      </c>
      <c r="CG42" s="17" t="str">
        <f t="shared" si="88"/>
        <v/>
      </c>
      <c r="CH42" s="17" t="str">
        <f t="shared" si="88"/>
        <v/>
      </c>
      <c r="CI42" s="17" t="str">
        <f t="shared" si="89"/>
        <v/>
      </c>
      <c r="CJ42" s="17" t="str">
        <f t="shared" si="89"/>
        <v/>
      </c>
      <c r="CK42" s="17" t="str">
        <f t="shared" si="89"/>
        <v/>
      </c>
      <c r="CL42" s="17" t="str">
        <f t="shared" si="89"/>
        <v/>
      </c>
      <c r="CM42" s="17" t="str">
        <f t="shared" si="89"/>
        <v/>
      </c>
      <c r="CN42" s="17" t="str">
        <f t="shared" si="89"/>
        <v/>
      </c>
      <c r="CO42" s="17" t="str">
        <f t="shared" si="89"/>
        <v/>
      </c>
      <c r="CP42" s="17" t="str">
        <f t="shared" si="89"/>
        <v/>
      </c>
      <c r="CQ42" s="17" t="str">
        <f t="shared" si="89"/>
        <v/>
      </c>
      <c r="CR42" s="17" t="str">
        <f t="shared" si="89"/>
        <v/>
      </c>
      <c r="CS42" s="17" t="str">
        <f t="shared" si="89"/>
        <v/>
      </c>
      <c r="CT42" s="17" t="str">
        <f t="shared" si="89"/>
        <v/>
      </c>
      <c r="CU42" s="17" t="str">
        <f t="shared" si="89"/>
        <v/>
      </c>
      <c r="CV42" s="17" t="str">
        <f t="shared" si="98"/>
        <v/>
      </c>
      <c r="CW42" s="17" t="str">
        <f t="shared" si="98"/>
        <v/>
      </c>
      <c r="CX42" s="17" t="str">
        <f t="shared" si="98"/>
        <v/>
      </c>
      <c r="CY42" s="17" t="str">
        <f t="shared" si="98"/>
        <v/>
      </c>
      <c r="CZ42" s="17" t="str">
        <f t="shared" si="98"/>
        <v/>
      </c>
      <c r="DA42" s="17" t="str">
        <f t="shared" si="98"/>
        <v/>
      </c>
      <c r="DB42" s="17" t="str">
        <f t="shared" si="98"/>
        <v/>
      </c>
      <c r="DC42" s="17" t="str">
        <f t="shared" si="98"/>
        <v/>
      </c>
      <c r="DE42" s="23">
        <f t="shared" si="90"/>
        <v>0</v>
      </c>
      <c r="DF42" s="23">
        <f t="shared" si="91"/>
        <v>0</v>
      </c>
    </row>
    <row r="43" spans="2:110" ht="15.75" x14ac:dyDescent="0.25">
      <c r="B43" s="28">
        <f t="shared" si="95"/>
        <v>35</v>
      </c>
      <c r="C43" s="55" t="s">
        <v>111</v>
      </c>
      <c r="D43" s="31">
        <v>1</v>
      </c>
      <c r="E43" s="32">
        <v>34</v>
      </c>
      <c r="F43" s="31" t="s">
        <v>60</v>
      </c>
      <c r="G43" s="33">
        <v>0</v>
      </c>
      <c r="H43" s="29">
        <f t="shared" si="73"/>
        <v>45980</v>
      </c>
      <c r="I43" s="29">
        <f t="shared" si="97"/>
        <v>45980</v>
      </c>
      <c r="J43" s="58" t="s">
        <v>127</v>
      </c>
      <c r="K43" s="31" t="s">
        <v>9</v>
      </c>
      <c r="L43" s="34"/>
      <c r="M43" s="30" t="str">
        <f t="shared" si="87"/>
        <v/>
      </c>
      <c r="O43" s="16" t="str">
        <f t="shared" si="94"/>
        <v/>
      </c>
      <c r="P43" s="17" t="str">
        <f t="shared" si="94"/>
        <v/>
      </c>
      <c r="Q43" s="17" t="str">
        <f t="shared" si="94"/>
        <v/>
      </c>
      <c r="R43" s="17" t="str">
        <f t="shared" si="94"/>
        <v/>
      </c>
      <c r="S43" s="17" t="str">
        <f t="shared" si="94"/>
        <v/>
      </c>
      <c r="T43" s="17" t="str">
        <f t="shared" si="94"/>
        <v/>
      </c>
      <c r="U43" s="17" t="str">
        <f t="shared" si="94"/>
        <v/>
      </c>
      <c r="V43" s="17" t="str">
        <f t="shared" si="94"/>
        <v/>
      </c>
      <c r="W43" s="17" t="str">
        <f t="shared" si="94"/>
        <v/>
      </c>
      <c r="X43" s="17" t="str">
        <f t="shared" si="94"/>
        <v/>
      </c>
      <c r="Y43" s="17" t="str">
        <f t="shared" si="94"/>
        <v/>
      </c>
      <c r="Z43" s="17" t="str">
        <f t="shared" si="94"/>
        <v/>
      </c>
      <c r="AA43" s="17" t="str">
        <f t="shared" si="94"/>
        <v/>
      </c>
      <c r="AB43" s="17" t="str">
        <f t="shared" si="94"/>
        <v/>
      </c>
      <c r="AC43" s="17" t="str">
        <f t="shared" si="94"/>
        <v>x</v>
      </c>
      <c r="AD43" s="17" t="str">
        <f t="shared" ref="O43:AD58" si="100">IF(AND(AD$8&gt;=$H43,AD$8&lt;=$I43),"x","")</f>
        <v/>
      </c>
      <c r="AE43" s="17" t="str">
        <f t="shared" si="96"/>
        <v/>
      </c>
      <c r="AF43" s="17" t="str">
        <f t="shared" si="96"/>
        <v/>
      </c>
      <c r="AG43" s="17" t="str">
        <f t="shared" si="96"/>
        <v/>
      </c>
      <c r="AH43" s="17" t="str">
        <f t="shared" si="96"/>
        <v/>
      </c>
      <c r="AI43" s="17" t="str">
        <f t="shared" si="96"/>
        <v/>
      </c>
      <c r="AJ43" s="17" t="str">
        <f t="shared" si="96"/>
        <v/>
      </c>
      <c r="AK43" s="17" t="str">
        <f t="shared" si="96"/>
        <v/>
      </c>
      <c r="AL43" s="17" t="str">
        <f t="shared" si="96"/>
        <v/>
      </c>
      <c r="AM43" s="17" t="str">
        <f t="shared" si="96"/>
        <v/>
      </c>
      <c r="AN43" s="17" t="str">
        <f t="shared" si="96"/>
        <v/>
      </c>
      <c r="AO43" s="17" t="str">
        <f t="shared" si="96"/>
        <v/>
      </c>
      <c r="AP43" s="17" t="str">
        <f t="shared" si="96"/>
        <v/>
      </c>
      <c r="AQ43" s="17" t="str">
        <f t="shared" si="96"/>
        <v/>
      </c>
      <c r="AR43" s="17" t="str">
        <f t="shared" si="96"/>
        <v/>
      </c>
      <c r="AS43" s="17" t="str">
        <f t="shared" si="96"/>
        <v/>
      </c>
      <c r="AT43" s="17" t="str">
        <f t="shared" si="96"/>
        <v/>
      </c>
      <c r="AU43" s="17" t="str">
        <f t="shared" ref="AU43:BJ58" si="101">IF(AND(AU$8&gt;=$H43,AU$8&lt;=$I43),"x","")</f>
        <v/>
      </c>
      <c r="AV43" s="17" t="str">
        <f t="shared" si="101"/>
        <v/>
      </c>
      <c r="AW43" s="17" t="str">
        <f t="shared" si="101"/>
        <v/>
      </c>
      <c r="AX43" s="17" t="str">
        <f t="shared" si="101"/>
        <v/>
      </c>
      <c r="AY43" s="17" t="str">
        <f t="shared" si="101"/>
        <v/>
      </c>
      <c r="AZ43" s="17" t="str">
        <f t="shared" si="101"/>
        <v/>
      </c>
      <c r="BA43" s="17" t="str">
        <f t="shared" si="101"/>
        <v/>
      </c>
      <c r="BB43" s="17" t="str">
        <f t="shared" si="101"/>
        <v/>
      </c>
      <c r="BC43" s="17" t="str">
        <f t="shared" si="101"/>
        <v/>
      </c>
      <c r="BD43" s="17" t="str">
        <f t="shared" si="101"/>
        <v/>
      </c>
      <c r="BE43" s="17" t="str">
        <f t="shared" si="101"/>
        <v/>
      </c>
      <c r="BF43" s="17" t="str">
        <f t="shared" si="101"/>
        <v/>
      </c>
      <c r="BG43" s="17" t="str">
        <f t="shared" si="101"/>
        <v/>
      </c>
      <c r="BH43" s="17" t="str">
        <f t="shared" si="101"/>
        <v/>
      </c>
      <c r="BI43" s="17" t="str">
        <f t="shared" si="101"/>
        <v/>
      </c>
      <c r="BJ43" s="17" t="str">
        <f t="shared" si="101"/>
        <v/>
      </c>
      <c r="BK43" s="17" t="str">
        <f t="shared" si="99"/>
        <v/>
      </c>
      <c r="BL43" s="17" t="str">
        <f t="shared" si="99"/>
        <v/>
      </c>
      <c r="BM43" s="17" t="str">
        <f t="shared" si="99"/>
        <v/>
      </c>
      <c r="BN43" s="17" t="str">
        <f t="shared" si="99"/>
        <v/>
      </c>
      <c r="BO43" s="17" t="str">
        <f t="shared" si="99"/>
        <v/>
      </c>
      <c r="BP43" s="17" t="str">
        <f t="shared" si="99"/>
        <v/>
      </c>
      <c r="BQ43" s="17" t="str">
        <f t="shared" si="99"/>
        <v/>
      </c>
      <c r="BR43" s="17" t="str">
        <f t="shared" si="99"/>
        <v/>
      </c>
      <c r="BS43" s="17" t="str">
        <f t="shared" si="99"/>
        <v/>
      </c>
      <c r="BT43" s="17" t="str">
        <f t="shared" si="99"/>
        <v/>
      </c>
      <c r="BU43" s="17" t="str">
        <f t="shared" si="99"/>
        <v/>
      </c>
      <c r="BV43" s="17" t="str">
        <f t="shared" si="99"/>
        <v/>
      </c>
      <c r="BW43" s="17" t="str">
        <f t="shared" si="99"/>
        <v/>
      </c>
      <c r="BX43" s="17" t="str">
        <f t="shared" si="88"/>
        <v/>
      </c>
      <c r="BY43" s="17" t="str">
        <f t="shared" si="88"/>
        <v/>
      </c>
      <c r="BZ43" s="17" t="str">
        <f t="shared" si="88"/>
        <v/>
      </c>
      <c r="CA43" s="17" t="str">
        <f t="shared" si="88"/>
        <v/>
      </c>
      <c r="CB43" s="17" t="str">
        <f t="shared" si="88"/>
        <v/>
      </c>
      <c r="CC43" s="17" t="str">
        <f t="shared" si="88"/>
        <v/>
      </c>
      <c r="CD43" s="17" t="str">
        <f t="shared" si="88"/>
        <v/>
      </c>
      <c r="CE43" s="17" t="str">
        <f t="shared" si="88"/>
        <v/>
      </c>
      <c r="CF43" s="17" t="str">
        <f t="shared" si="88"/>
        <v/>
      </c>
      <c r="CG43" s="17" t="str">
        <f t="shared" si="88"/>
        <v/>
      </c>
      <c r="CH43" s="17" t="str">
        <f t="shared" si="88"/>
        <v/>
      </c>
      <c r="CI43" s="17" t="str">
        <f t="shared" si="89"/>
        <v/>
      </c>
      <c r="CJ43" s="17" t="str">
        <f t="shared" si="89"/>
        <v/>
      </c>
      <c r="CK43" s="17" t="str">
        <f t="shared" si="89"/>
        <v/>
      </c>
      <c r="CL43" s="17" t="str">
        <f t="shared" si="89"/>
        <v/>
      </c>
      <c r="CM43" s="17" t="str">
        <f t="shared" si="89"/>
        <v/>
      </c>
      <c r="CN43" s="17" t="str">
        <f t="shared" si="89"/>
        <v/>
      </c>
      <c r="CO43" s="17" t="str">
        <f t="shared" si="89"/>
        <v/>
      </c>
      <c r="CP43" s="17" t="str">
        <f t="shared" si="89"/>
        <v/>
      </c>
      <c r="CQ43" s="17" t="str">
        <f t="shared" si="89"/>
        <v/>
      </c>
      <c r="CR43" s="17" t="str">
        <f t="shared" si="89"/>
        <v/>
      </c>
      <c r="CS43" s="17" t="str">
        <f t="shared" si="89"/>
        <v/>
      </c>
      <c r="CT43" s="17" t="str">
        <f t="shared" si="89"/>
        <v/>
      </c>
      <c r="CU43" s="17" t="str">
        <f t="shared" si="89"/>
        <v/>
      </c>
      <c r="CV43" s="17" t="str">
        <f t="shared" si="98"/>
        <v/>
      </c>
      <c r="CW43" s="17" t="str">
        <f t="shared" si="98"/>
        <v/>
      </c>
      <c r="CX43" s="17" t="str">
        <f t="shared" si="98"/>
        <v/>
      </c>
      <c r="CY43" s="17" t="str">
        <f t="shared" si="98"/>
        <v/>
      </c>
      <c r="CZ43" s="17" t="str">
        <f t="shared" si="98"/>
        <v/>
      </c>
      <c r="DA43" s="17" t="str">
        <f t="shared" si="98"/>
        <v/>
      </c>
      <c r="DB43" s="17" t="str">
        <f t="shared" si="98"/>
        <v/>
      </c>
      <c r="DC43" s="17" t="str">
        <f t="shared" si="98"/>
        <v/>
      </c>
      <c r="DE43" s="23">
        <f t="shared" si="90"/>
        <v>0</v>
      </c>
      <c r="DF43" s="23">
        <f t="shared" si="91"/>
        <v>0</v>
      </c>
    </row>
    <row r="44" spans="2:110" ht="15.75" x14ac:dyDescent="0.25">
      <c r="B44" s="28">
        <f t="shared" si="95"/>
        <v>36</v>
      </c>
      <c r="C44" s="55" t="s">
        <v>112</v>
      </c>
      <c r="D44" s="31">
        <v>1</v>
      </c>
      <c r="E44" s="32">
        <v>35</v>
      </c>
      <c r="F44" s="31" t="s">
        <v>60</v>
      </c>
      <c r="G44" s="33">
        <v>0</v>
      </c>
      <c r="H44" s="29">
        <f t="shared" si="73"/>
        <v>45980</v>
      </c>
      <c r="I44" s="29">
        <f t="shared" si="97"/>
        <v>45980</v>
      </c>
      <c r="J44" s="58" t="s">
        <v>127</v>
      </c>
      <c r="K44" s="31" t="s">
        <v>9</v>
      </c>
      <c r="L44" s="34"/>
      <c r="M44" s="30" t="str">
        <f t="shared" si="87"/>
        <v/>
      </c>
      <c r="O44" s="16" t="str">
        <f t="shared" si="100"/>
        <v/>
      </c>
      <c r="P44" s="17" t="str">
        <f t="shared" si="100"/>
        <v/>
      </c>
      <c r="Q44" s="17" t="str">
        <f t="shared" si="100"/>
        <v/>
      </c>
      <c r="R44" s="17" t="str">
        <f t="shared" si="100"/>
        <v/>
      </c>
      <c r="S44" s="17" t="str">
        <f t="shared" si="100"/>
        <v/>
      </c>
      <c r="T44" s="17" t="str">
        <f t="shared" si="100"/>
        <v/>
      </c>
      <c r="U44" s="17" t="str">
        <f t="shared" si="100"/>
        <v/>
      </c>
      <c r="V44" s="17" t="str">
        <f t="shared" si="100"/>
        <v/>
      </c>
      <c r="W44" s="17" t="str">
        <f t="shared" si="100"/>
        <v/>
      </c>
      <c r="X44" s="17" t="str">
        <f t="shared" si="100"/>
        <v/>
      </c>
      <c r="Y44" s="17" t="str">
        <f t="shared" si="100"/>
        <v/>
      </c>
      <c r="Z44" s="17" t="str">
        <f t="shared" si="100"/>
        <v/>
      </c>
      <c r="AA44" s="17" t="str">
        <f t="shared" si="100"/>
        <v/>
      </c>
      <c r="AB44" s="17" t="str">
        <f t="shared" si="100"/>
        <v/>
      </c>
      <c r="AC44" s="17" t="str">
        <f t="shared" si="100"/>
        <v>x</v>
      </c>
      <c r="AD44" s="17" t="str">
        <f t="shared" si="100"/>
        <v/>
      </c>
      <c r="AE44" s="17" t="str">
        <f t="shared" si="96"/>
        <v/>
      </c>
      <c r="AF44" s="17" t="str">
        <f t="shared" si="96"/>
        <v/>
      </c>
      <c r="AG44" s="17" t="str">
        <f t="shared" si="96"/>
        <v/>
      </c>
      <c r="AH44" s="17" t="str">
        <f t="shared" si="96"/>
        <v/>
      </c>
      <c r="AI44" s="17" t="str">
        <f t="shared" si="96"/>
        <v/>
      </c>
      <c r="AJ44" s="17" t="str">
        <f t="shared" si="96"/>
        <v/>
      </c>
      <c r="AK44" s="17" t="str">
        <f t="shared" si="96"/>
        <v/>
      </c>
      <c r="AL44" s="17" t="str">
        <f t="shared" si="96"/>
        <v/>
      </c>
      <c r="AM44" s="17" t="str">
        <f t="shared" si="96"/>
        <v/>
      </c>
      <c r="AN44" s="17" t="str">
        <f t="shared" si="96"/>
        <v/>
      </c>
      <c r="AO44" s="17" t="str">
        <f t="shared" si="96"/>
        <v/>
      </c>
      <c r="AP44" s="17" t="str">
        <f t="shared" si="96"/>
        <v/>
      </c>
      <c r="AQ44" s="17" t="str">
        <f t="shared" si="96"/>
        <v/>
      </c>
      <c r="AR44" s="17" t="str">
        <f t="shared" si="96"/>
        <v/>
      </c>
      <c r="AS44" s="17" t="str">
        <f t="shared" si="96"/>
        <v/>
      </c>
      <c r="AT44" s="17" t="str">
        <f t="shared" si="96"/>
        <v/>
      </c>
      <c r="AU44" s="17" t="str">
        <f t="shared" si="101"/>
        <v/>
      </c>
      <c r="AV44" s="17" t="str">
        <f t="shared" si="101"/>
        <v/>
      </c>
      <c r="AW44" s="17" t="str">
        <f t="shared" si="101"/>
        <v/>
      </c>
      <c r="AX44" s="17" t="str">
        <f t="shared" si="101"/>
        <v/>
      </c>
      <c r="AY44" s="17" t="str">
        <f t="shared" si="101"/>
        <v/>
      </c>
      <c r="AZ44" s="17" t="str">
        <f t="shared" si="101"/>
        <v/>
      </c>
      <c r="BA44" s="17" t="str">
        <f t="shared" si="101"/>
        <v/>
      </c>
      <c r="BB44" s="17" t="str">
        <f t="shared" si="101"/>
        <v/>
      </c>
      <c r="BC44" s="17" t="str">
        <f t="shared" si="101"/>
        <v/>
      </c>
      <c r="BD44" s="17" t="str">
        <f t="shared" si="101"/>
        <v/>
      </c>
      <c r="BE44" s="17" t="str">
        <f t="shared" si="101"/>
        <v/>
      </c>
      <c r="BF44" s="17" t="str">
        <f t="shared" si="101"/>
        <v/>
      </c>
      <c r="BG44" s="17" t="str">
        <f t="shared" si="101"/>
        <v/>
      </c>
      <c r="BH44" s="17" t="str">
        <f t="shared" si="101"/>
        <v/>
      </c>
      <c r="BI44" s="17" t="str">
        <f t="shared" si="101"/>
        <v/>
      </c>
      <c r="BJ44" s="17" t="str">
        <f t="shared" si="101"/>
        <v/>
      </c>
      <c r="BK44" s="17" t="str">
        <f t="shared" si="99"/>
        <v/>
      </c>
      <c r="BL44" s="17" t="str">
        <f t="shared" si="99"/>
        <v/>
      </c>
      <c r="BM44" s="17" t="str">
        <f t="shared" si="99"/>
        <v/>
      </c>
      <c r="BN44" s="17" t="str">
        <f t="shared" si="99"/>
        <v/>
      </c>
      <c r="BO44" s="17" t="str">
        <f t="shared" si="99"/>
        <v/>
      </c>
      <c r="BP44" s="17" t="str">
        <f t="shared" si="99"/>
        <v/>
      </c>
      <c r="BQ44" s="17" t="str">
        <f t="shared" si="99"/>
        <v/>
      </c>
      <c r="BR44" s="17" t="str">
        <f t="shared" si="99"/>
        <v/>
      </c>
      <c r="BS44" s="17" t="str">
        <f t="shared" si="99"/>
        <v/>
      </c>
      <c r="BT44" s="17" t="str">
        <f t="shared" si="99"/>
        <v/>
      </c>
      <c r="BU44" s="17" t="str">
        <f t="shared" si="99"/>
        <v/>
      </c>
      <c r="BV44" s="17" t="str">
        <f t="shared" si="99"/>
        <v/>
      </c>
      <c r="BW44" s="17" t="str">
        <f t="shared" si="99"/>
        <v/>
      </c>
      <c r="BX44" s="17" t="str">
        <f t="shared" si="88"/>
        <v/>
      </c>
      <c r="BY44" s="17" t="str">
        <f t="shared" si="88"/>
        <v/>
      </c>
      <c r="BZ44" s="17" t="str">
        <f t="shared" si="88"/>
        <v/>
      </c>
      <c r="CA44" s="17" t="str">
        <f t="shared" si="88"/>
        <v/>
      </c>
      <c r="CB44" s="17" t="str">
        <f t="shared" si="88"/>
        <v/>
      </c>
      <c r="CC44" s="17" t="str">
        <f t="shared" si="88"/>
        <v/>
      </c>
      <c r="CD44" s="17" t="str">
        <f t="shared" si="88"/>
        <v/>
      </c>
      <c r="CE44" s="17" t="str">
        <f t="shared" si="88"/>
        <v/>
      </c>
      <c r="CF44" s="17" t="str">
        <f t="shared" si="88"/>
        <v/>
      </c>
      <c r="CG44" s="17" t="str">
        <f t="shared" si="88"/>
        <v/>
      </c>
      <c r="CH44" s="17" t="str">
        <f t="shared" si="88"/>
        <v/>
      </c>
      <c r="CI44" s="17" t="str">
        <f t="shared" si="89"/>
        <v/>
      </c>
      <c r="CJ44" s="17" t="str">
        <f t="shared" si="89"/>
        <v/>
      </c>
      <c r="CK44" s="17" t="str">
        <f t="shared" si="89"/>
        <v/>
      </c>
      <c r="CL44" s="17" t="str">
        <f t="shared" si="89"/>
        <v/>
      </c>
      <c r="CM44" s="17" t="str">
        <f t="shared" si="89"/>
        <v/>
      </c>
      <c r="CN44" s="17" t="str">
        <f t="shared" si="89"/>
        <v/>
      </c>
      <c r="CO44" s="17" t="str">
        <f t="shared" si="89"/>
        <v/>
      </c>
      <c r="CP44" s="17" t="str">
        <f t="shared" si="89"/>
        <v/>
      </c>
      <c r="CQ44" s="17" t="str">
        <f t="shared" si="89"/>
        <v/>
      </c>
      <c r="CR44" s="17" t="str">
        <f t="shared" si="89"/>
        <v/>
      </c>
      <c r="CS44" s="17" t="str">
        <f t="shared" si="89"/>
        <v/>
      </c>
      <c r="CT44" s="17" t="str">
        <f t="shared" si="89"/>
        <v/>
      </c>
      <c r="CU44" s="17" t="str">
        <f t="shared" si="89"/>
        <v/>
      </c>
      <c r="CV44" s="17" t="str">
        <f t="shared" si="98"/>
        <v/>
      </c>
      <c r="CW44" s="17" t="str">
        <f t="shared" si="98"/>
        <v/>
      </c>
      <c r="CX44" s="17" t="str">
        <f t="shared" si="98"/>
        <v/>
      </c>
      <c r="CY44" s="17" t="str">
        <f t="shared" si="98"/>
        <v/>
      </c>
      <c r="CZ44" s="17" t="str">
        <f t="shared" si="98"/>
        <v/>
      </c>
      <c r="DA44" s="17" t="str">
        <f t="shared" si="98"/>
        <v/>
      </c>
      <c r="DB44" s="17" t="str">
        <f t="shared" si="98"/>
        <v/>
      </c>
      <c r="DC44" s="17" t="str">
        <f t="shared" si="98"/>
        <v/>
      </c>
      <c r="DE44" s="23">
        <f t="shared" si="90"/>
        <v>0</v>
      </c>
      <c r="DF44" s="23">
        <f t="shared" si="91"/>
        <v>0</v>
      </c>
    </row>
    <row r="45" spans="2:110" ht="15.75" x14ac:dyDescent="0.25">
      <c r="B45" s="28">
        <f t="shared" si="95"/>
        <v>37</v>
      </c>
      <c r="C45" s="55" t="s">
        <v>113</v>
      </c>
      <c r="D45" s="31">
        <v>1</v>
      </c>
      <c r="E45" s="32">
        <v>36</v>
      </c>
      <c r="F45" s="31" t="s">
        <v>60</v>
      </c>
      <c r="G45" s="33">
        <v>1</v>
      </c>
      <c r="H45" s="29">
        <f t="shared" si="73"/>
        <v>45981</v>
      </c>
      <c r="I45" s="29">
        <f t="shared" si="97"/>
        <v>45981</v>
      </c>
      <c r="J45" s="58" t="s">
        <v>127</v>
      </c>
      <c r="K45" s="31" t="s">
        <v>9</v>
      </c>
      <c r="L45" s="34"/>
      <c r="M45" s="30" t="str">
        <f t="shared" si="87"/>
        <v/>
      </c>
      <c r="O45" s="16" t="str">
        <f t="shared" si="100"/>
        <v/>
      </c>
      <c r="P45" s="17" t="str">
        <f t="shared" si="100"/>
        <v/>
      </c>
      <c r="Q45" s="17" t="str">
        <f t="shared" si="100"/>
        <v/>
      </c>
      <c r="R45" s="17" t="str">
        <f t="shared" si="100"/>
        <v/>
      </c>
      <c r="S45" s="17" t="str">
        <f t="shared" si="100"/>
        <v/>
      </c>
      <c r="T45" s="17" t="str">
        <f t="shared" si="100"/>
        <v/>
      </c>
      <c r="U45" s="17" t="str">
        <f t="shared" si="100"/>
        <v/>
      </c>
      <c r="V45" s="17" t="str">
        <f t="shared" si="100"/>
        <v/>
      </c>
      <c r="W45" s="17" t="str">
        <f t="shared" si="100"/>
        <v/>
      </c>
      <c r="X45" s="17" t="str">
        <f t="shared" si="100"/>
        <v/>
      </c>
      <c r="Y45" s="17" t="str">
        <f t="shared" si="100"/>
        <v/>
      </c>
      <c r="Z45" s="17" t="str">
        <f t="shared" si="100"/>
        <v/>
      </c>
      <c r="AA45" s="17" t="str">
        <f t="shared" si="100"/>
        <v/>
      </c>
      <c r="AB45" s="17" t="str">
        <f t="shared" si="100"/>
        <v/>
      </c>
      <c r="AC45" s="17" t="str">
        <f t="shared" si="100"/>
        <v/>
      </c>
      <c r="AD45" s="17" t="str">
        <f t="shared" si="100"/>
        <v>x</v>
      </c>
      <c r="AE45" s="17" t="str">
        <f t="shared" si="96"/>
        <v/>
      </c>
      <c r="AF45" s="17" t="str">
        <f t="shared" si="96"/>
        <v/>
      </c>
      <c r="AG45" s="17" t="str">
        <f t="shared" si="96"/>
        <v/>
      </c>
      <c r="AH45" s="17" t="str">
        <f t="shared" si="96"/>
        <v/>
      </c>
      <c r="AI45" s="17" t="str">
        <f t="shared" si="96"/>
        <v/>
      </c>
      <c r="AJ45" s="17" t="str">
        <f t="shared" si="96"/>
        <v/>
      </c>
      <c r="AK45" s="17" t="str">
        <f t="shared" si="96"/>
        <v/>
      </c>
      <c r="AL45" s="17" t="str">
        <f t="shared" si="96"/>
        <v/>
      </c>
      <c r="AM45" s="17" t="str">
        <f t="shared" si="96"/>
        <v/>
      </c>
      <c r="AN45" s="17" t="str">
        <f t="shared" si="96"/>
        <v/>
      </c>
      <c r="AO45" s="17" t="str">
        <f t="shared" si="96"/>
        <v/>
      </c>
      <c r="AP45" s="17" t="str">
        <f t="shared" si="96"/>
        <v/>
      </c>
      <c r="AQ45" s="17" t="str">
        <f t="shared" si="96"/>
        <v/>
      </c>
      <c r="AR45" s="17" t="str">
        <f t="shared" si="96"/>
        <v/>
      </c>
      <c r="AS45" s="17" t="str">
        <f t="shared" si="96"/>
        <v/>
      </c>
      <c r="AT45" s="17" t="str">
        <f t="shared" si="96"/>
        <v/>
      </c>
      <c r="AU45" s="17" t="str">
        <f t="shared" si="101"/>
        <v/>
      </c>
      <c r="AV45" s="17" t="str">
        <f t="shared" si="101"/>
        <v/>
      </c>
      <c r="AW45" s="17" t="str">
        <f t="shared" si="101"/>
        <v/>
      </c>
      <c r="AX45" s="17" t="str">
        <f t="shared" si="101"/>
        <v/>
      </c>
      <c r="AY45" s="17" t="str">
        <f t="shared" si="101"/>
        <v/>
      </c>
      <c r="AZ45" s="17" t="str">
        <f t="shared" si="101"/>
        <v/>
      </c>
      <c r="BA45" s="17" t="str">
        <f t="shared" si="101"/>
        <v/>
      </c>
      <c r="BB45" s="17" t="str">
        <f t="shared" si="101"/>
        <v/>
      </c>
      <c r="BC45" s="17" t="str">
        <f t="shared" si="101"/>
        <v/>
      </c>
      <c r="BD45" s="17" t="str">
        <f t="shared" si="101"/>
        <v/>
      </c>
      <c r="BE45" s="17" t="str">
        <f t="shared" si="101"/>
        <v/>
      </c>
      <c r="BF45" s="17" t="str">
        <f t="shared" si="101"/>
        <v/>
      </c>
      <c r="BG45" s="17" t="str">
        <f t="shared" si="101"/>
        <v/>
      </c>
      <c r="BH45" s="17" t="str">
        <f t="shared" si="101"/>
        <v/>
      </c>
      <c r="BI45" s="17" t="str">
        <f t="shared" si="101"/>
        <v/>
      </c>
      <c r="BJ45" s="17" t="str">
        <f t="shared" si="101"/>
        <v/>
      </c>
      <c r="BK45" s="17" t="str">
        <f t="shared" si="99"/>
        <v/>
      </c>
      <c r="BL45" s="17" t="str">
        <f t="shared" si="99"/>
        <v/>
      </c>
      <c r="BM45" s="17" t="str">
        <f t="shared" si="99"/>
        <v/>
      </c>
      <c r="BN45" s="17" t="str">
        <f t="shared" si="99"/>
        <v/>
      </c>
      <c r="BO45" s="17" t="str">
        <f t="shared" si="99"/>
        <v/>
      </c>
      <c r="BP45" s="17" t="str">
        <f t="shared" si="99"/>
        <v/>
      </c>
      <c r="BQ45" s="17" t="str">
        <f t="shared" si="99"/>
        <v/>
      </c>
      <c r="BR45" s="17" t="str">
        <f t="shared" si="99"/>
        <v/>
      </c>
      <c r="BS45" s="17" t="str">
        <f t="shared" si="99"/>
        <v/>
      </c>
      <c r="BT45" s="17" t="str">
        <f t="shared" si="99"/>
        <v/>
      </c>
      <c r="BU45" s="17" t="str">
        <f t="shared" si="99"/>
        <v/>
      </c>
      <c r="BV45" s="17" t="str">
        <f t="shared" si="99"/>
        <v/>
      </c>
      <c r="BW45" s="17" t="str">
        <f t="shared" si="99"/>
        <v/>
      </c>
      <c r="BX45" s="17" t="str">
        <f t="shared" si="88"/>
        <v/>
      </c>
      <c r="BY45" s="17" t="str">
        <f t="shared" si="88"/>
        <v/>
      </c>
      <c r="BZ45" s="17" t="str">
        <f t="shared" si="88"/>
        <v/>
      </c>
      <c r="CA45" s="17" t="str">
        <f t="shared" si="88"/>
        <v/>
      </c>
      <c r="CB45" s="17" t="str">
        <f t="shared" si="88"/>
        <v/>
      </c>
      <c r="CC45" s="17" t="str">
        <f t="shared" si="88"/>
        <v/>
      </c>
      <c r="CD45" s="17" t="str">
        <f t="shared" si="88"/>
        <v/>
      </c>
      <c r="CE45" s="17" t="str">
        <f t="shared" si="88"/>
        <v/>
      </c>
      <c r="CF45" s="17" t="str">
        <f t="shared" si="88"/>
        <v/>
      </c>
      <c r="CG45" s="17" t="str">
        <f t="shared" si="88"/>
        <v/>
      </c>
      <c r="CH45" s="17" t="str">
        <f t="shared" si="88"/>
        <v/>
      </c>
      <c r="CI45" s="17" t="str">
        <f t="shared" si="89"/>
        <v/>
      </c>
      <c r="CJ45" s="17" t="str">
        <f t="shared" si="89"/>
        <v/>
      </c>
      <c r="CK45" s="17" t="str">
        <f t="shared" si="89"/>
        <v/>
      </c>
      <c r="CL45" s="17" t="str">
        <f t="shared" si="89"/>
        <v/>
      </c>
      <c r="CM45" s="17" t="str">
        <f t="shared" si="89"/>
        <v/>
      </c>
      <c r="CN45" s="17" t="str">
        <f t="shared" ref="CN45:CU45" si="102">IF(AND(CN$8&gt;=$H45,CN$8&lt;=$I45),"x","")</f>
        <v/>
      </c>
      <c r="CO45" s="17" t="str">
        <f t="shared" si="102"/>
        <v/>
      </c>
      <c r="CP45" s="17" t="str">
        <f t="shared" si="102"/>
        <v/>
      </c>
      <c r="CQ45" s="17" t="str">
        <f t="shared" si="102"/>
        <v/>
      </c>
      <c r="CR45" s="17" t="str">
        <f t="shared" si="102"/>
        <v/>
      </c>
      <c r="CS45" s="17" t="str">
        <f t="shared" si="102"/>
        <v/>
      </c>
      <c r="CT45" s="17" t="str">
        <f t="shared" si="102"/>
        <v/>
      </c>
      <c r="CU45" s="17" t="str">
        <f t="shared" si="102"/>
        <v/>
      </c>
      <c r="CV45" s="17" t="str">
        <f t="shared" si="98"/>
        <v/>
      </c>
      <c r="CW45" s="17" t="str">
        <f t="shared" si="98"/>
        <v/>
      </c>
      <c r="CX45" s="17" t="str">
        <f t="shared" si="98"/>
        <v/>
      </c>
      <c r="CY45" s="17" t="str">
        <f t="shared" si="98"/>
        <v/>
      </c>
      <c r="CZ45" s="17" t="str">
        <f t="shared" si="98"/>
        <v/>
      </c>
      <c r="DA45" s="17" t="str">
        <f t="shared" si="98"/>
        <v/>
      </c>
      <c r="DB45" s="17" t="str">
        <f t="shared" si="98"/>
        <v/>
      </c>
      <c r="DC45" s="17" t="str">
        <f t="shared" si="98"/>
        <v/>
      </c>
      <c r="DE45" s="23">
        <f t="shared" si="90"/>
        <v>0</v>
      </c>
      <c r="DF45" s="23">
        <f t="shared" si="91"/>
        <v>0</v>
      </c>
    </row>
    <row r="46" spans="2:110" ht="15.75" x14ac:dyDescent="0.25">
      <c r="B46" s="28">
        <f t="shared" si="95"/>
        <v>38</v>
      </c>
      <c r="C46" s="55" t="s">
        <v>114</v>
      </c>
      <c r="D46" s="31">
        <v>1</v>
      </c>
      <c r="E46" s="32">
        <v>37</v>
      </c>
      <c r="F46" s="31" t="s">
        <v>60</v>
      </c>
      <c r="G46" s="33">
        <v>0</v>
      </c>
      <c r="H46" s="29">
        <f t="shared" si="73"/>
        <v>45981</v>
      </c>
      <c r="I46" s="29">
        <f t="shared" si="97"/>
        <v>45981</v>
      </c>
      <c r="J46" s="58" t="s">
        <v>127</v>
      </c>
      <c r="K46" s="31" t="s">
        <v>9</v>
      </c>
      <c r="L46" s="34"/>
      <c r="M46" s="30" t="str">
        <f t="shared" si="87"/>
        <v/>
      </c>
      <c r="O46" s="16" t="str">
        <f t="shared" si="100"/>
        <v/>
      </c>
      <c r="P46" s="17" t="str">
        <f t="shared" si="100"/>
        <v/>
      </c>
      <c r="Q46" s="17" t="str">
        <f t="shared" si="100"/>
        <v/>
      </c>
      <c r="R46" s="17" t="str">
        <f t="shared" si="100"/>
        <v/>
      </c>
      <c r="S46" s="17" t="str">
        <f t="shared" si="100"/>
        <v/>
      </c>
      <c r="T46" s="17" t="str">
        <f t="shared" si="100"/>
        <v/>
      </c>
      <c r="U46" s="17" t="str">
        <f t="shared" si="100"/>
        <v/>
      </c>
      <c r="V46" s="17" t="str">
        <f t="shared" si="100"/>
        <v/>
      </c>
      <c r="W46" s="17" t="str">
        <f t="shared" si="100"/>
        <v/>
      </c>
      <c r="X46" s="17" t="str">
        <f t="shared" si="100"/>
        <v/>
      </c>
      <c r="Y46" s="17" t="str">
        <f t="shared" si="100"/>
        <v/>
      </c>
      <c r="Z46" s="17" t="str">
        <f t="shared" si="100"/>
        <v/>
      </c>
      <c r="AA46" s="17" t="str">
        <f t="shared" si="100"/>
        <v/>
      </c>
      <c r="AB46" s="17" t="str">
        <f t="shared" si="100"/>
        <v/>
      </c>
      <c r="AC46" s="17" t="str">
        <f t="shared" si="100"/>
        <v/>
      </c>
      <c r="AD46" s="17" t="str">
        <f t="shared" si="100"/>
        <v>x</v>
      </c>
      <c r="AE46" s="17" t="str">
        <f t="shared" si="96"/>
        <v/>
      </c>
      <c r="AF46" s="17" t="str">
        <f t="shared" si="96"/>
        <v/>
      </c>
      <c r="AG46" s="17" t="str">
        <f t="shared" si="96"/>
        <v/>
      </c>
      <c r="AH46" s="17" t="str">
        <f t="shared" si="96"/>
        <v/>
      </c>
      <c r="AI46" s="17" t="str">
        <f t="shared" si="96"/>
        <v/>
      </c>
      <c r="AJ46" s="17" t="str">
        <f t="shared" si="96"/>
        <v/>
      </c>
      <c r="AK46" s="17" t="str">
        <f t="shared" si="96"/>
        <v/>
      </c>
      <c r="AL46" s="17" t="str">
        <f t="shared" si="96"/>
        <v/>
      </c>
      <c r="AM46" s="17" t="str">
        <f t="shared" si="96"/>
        <v/>
      </c>
      <c r="AN46" s="17" t="str">
        <f t="shared" si="96"/>
        <v/>
      </c>
      <c r="AO46" s="17" t="str">
        <f t="shared" si="96"/>
        <v/>
      </c>
      <c r="AP46" s="17" t="str">
        <f t="shared" si="96"/>
        <v/>
      </c>
      <c r="AQ46" s="17" t="str">
        <f t="shared" si="96"/>
        <v/>
      </c>
      <c r="AR46" s="17" t="str">
        <f t="shared" si="96"/>
        <v/>
      </c>
      <c r="AS46" s="17" t="str">
        <f t="shared" si="96"/>
        <v/>
      </c>
      <c r="AT46" s="17" t="str">
        <f t="shared" si="96"/>
        <v/>
      </c>
      <c r="AU46" s="17" t="str">
        <f t="shared" si="101"/>
        <v/>
      </c>
      <c r="AV46" s="17" t="str">
        <f t="shared" si="101"/>
        <v/>
      </c>
      <c r="AW46" s="17" t="str">
        <f t="shared" si="101"/>
        <v/>
      </c>
      <c r="AX46" s="17" t="str">
        <f t="shared" si="101"/>
        <v/>
      </c>
      <c r="AY46" s="17" t="str">
        <f t="shared" si="101"/>
        <v/>
      </c>
      <c r="AZ46" s="17" t="str">
        <f t="shared" si="101"/>
        <v/>
      </c>
      <c r="BA46" s="17" t="str">
        <f t="shared" si="101"/>
        <v/>
      </c>
      <c r="BB46" s="17" t="str">
        <f t="shared" si="101"/>
        <v/>
      </c>
      <c r="BC46" s="17" t="str">
        <f t="shared" si="101"/>
        <v/>
      </c>
      <c r="BD46" s="17" t="str">
        <f t="shared" si="101"/>
        <v/>
      </c>
      <c r="BE46" s="17" t="str">
        <f t="shared" si="101"/>
        <v/>
      </c>
      <c r="BF46" s="17" t="str">
        <f t="shared" si="101"/>
        <v/>
      </c>
      <c r="BG46" s="17" t="str">
        <f t="shared" si="101"/>
        <v/>
      </c>
      <c r="BH46" s="17" t="str">
        <f t="shared" si="101"/>
        <v/>
      </c>
      <c r="BI46" s="17" t="str">
        <f t="shared" si="101"/>
        <v/>
      </c>
      <c r="BJ46" s="17" t="str">
        <f t="shared" si="101"/>
        <v/>
      </c>
      <c r="BK46" s="17" t="str">
        <f t="shared" si="99"/>
        <v/>
      </c>
      <c r="BL46" s="17" t="str">
        <f t="shared" si="99"/>
        <v/>
      </c>
      <c r="BM46" s="17" t="str">
        <f t="shared" si="99"/>
        <v/>
      </c>
      <c r="BN46" s="17" t="str">
        <f t="shared" si="99"/>
        <v/>
      </c>
      <c r="BO46" s="17" t="str">
        <f t="shared" si="99"/>
        <v/>
      </c>
      <c r="BP46" s="17" t="str">
        <f t="shared" si="99"/>
        <v/>
      </c>
      <c r="BQ46" s="17" t="str">
        <f t="shared" si="99"/>
        <v/>
      </c>
      <c r="BR46" s="17" t="str">
        <f t="shared" si="99"/>
        <v/>
      </c>
      <c r="BS46" s="17" t="str">
        <f t="shared" si="99"/>
        <v/>
      </c>
      <c r="BT46" s="17" t="str">
        <f t="shared" si="99"/>
        <v/>
      </c>
      <c r="BU46" s="17" t="str">
        <f t="shared" si="99"/>
        <v/>
      </c>
      <c r="BV46" s="17" t="str">
        <f t="shared" si="99"/>
        <v/>
      </c>
      <c r="BW46" s="17" t="str">
        <f t="shared" si="99"/>
        <v/>
      </c>
      <c r="BX46" s="17" t="str">
        <f t="shared" si="88"/>
        <v/>
      </c>
      <c r="BY46" s="17" t="str">
        <f t="shared" si="88"/>
        <v/>
      </c>
      <c r="BZ46" s="17" t="str">
        <f t="shared" si="88"/>
        <v/>
      </c>
      <c r="CA46" s="17" t="str">
        <f t="shared" si="88"/>
        <v/>
      </c>
      <c r="CB46" s="17" t="str">
        <f t="shared" si="88"/>
        <v/>
      </c>
      <c r="CC46" s="17" t="str">
        <f t="shared" si="88"/>
        <v/>
      </c>
      <c r="CD46" s="17" t="str">
        <f t="shared" si="88"/>
        <v/>
      </c>
      <c r="CE46" s="17" t="str">
        <f t="shared" si="88"/>
        <v/>
      </c>
      <c r="CF46" s="17" t="str">
        <f t="shared" si="88"/>
        <v/>
      </c>
      <c r="CG46" s="17" t="str">
        <f t="shared" si="88"/>
        <v/>
      </c>
      <c r="CH46" s="17" t="str">
        <f t="shared" si="88"/>
        <v/>
      </c>
      <c r="CI46" s="17" t="str">
        <f t="shared" ref="CI46:CX61" si="103">IF(AND(CI$8&gt;=$H46,CI$8&lt;=$I46),"x","")</f>
        <v/>
      </c>
      <c r="CJ46" s="17" t="str">
        <f t="shared" si="103"/>
        <v/>
      </c>
      <c r="CK46" s="17" t="str">
        <f t="shared" si="103"/>
        <v/>
      </c>
      <c r="CL46" s="17" t="str">
        <f t="shared" si="103"/>
        <v/>
      </c>
      <c r="CM46" s="17" t="str">
        <f t="shared" si="103"/>
        <v/>
      </c>
      <c r="CN46" s="17" t="str">
        <f t="shared" si="103"/>
        <v/>
      </c>
      <c r="CO46" s="17" t="str">
        <f t="shared" si="103"/>
        <v/>
      </c>
      <c r="CP46" s="17" t="str">
        <f t="shared" si="103"/>
        <v/>
      </c>
      <c r="CQ46" s="17" t="str">
        <f t="shared" si="103"/>
        <v/>
      </c>
      <c r="CR46" s="17" t="str">
        <f t="shared" si="103"/>
        <v/>
      </c>
      <c r="CS46" s="17" t="str">
        <f t="shared" si="103"/>
        <v/>
      </c>
      <c r="CT46" s="17" t="str">
        <f t="shared" si="103"/>
        <v/>
      </c>
      <c r="CU46" s="17" t="str">
        <f t="shared" si="103"/>
        <v/>
      </c>
      <c r="CV46" s="17" t="str">
        <f t="shared" si="98"/>
        <v/>
      </c>
      <c r="CW46" s="17" t="str">
        <f t="shared" si="98"/>
        <v/>
      </c>
      <c r="CX46" s="17" t="str">
        <f t="shared" si="98"/>
        <v/>
      </c>
      <c r="CY46" s="17" t="str">
        <f t="shared" si="98"/>
        <v/>
      </c>
      <c r="CZ46" s="17" t="str">
        <f t="shared" si="98"/>
        <v/>
      </c>
      <c r="DA46" s="17" t="str">
        <f t="shared" si="98"/>
        <v/>
      </c>
      <c r="DB46" s="17" t="str">
        <f t="shared" si="98"/>
        <v/>
      </c>
      <c r="DC46" s="17" t="str">
        <f t="shared" si="98"/>
        <v/>
      </c>
      <c r="DE46" s="23">
        <f t="shared" si="90"/>
        <v>0</v>
      </c>
      <c r="DF46" s="23">
        <f t="shared" si="91"/>
        <v>0</v>
      </c>
    </row>
    <row r="47" spans="2:110" ht="15.75" x14ac:dyDescent="0.25">
      <c r="B47" s="28">
        <f t="shared" si="95"/>
        <v>39</v>
      </c>
      <c r="C47" s="55" t="s">
        <v>115</v>
      </c>
      <c r="D47" s="31">
        <v>1</v>
      </c>
      <c r="E47" s="32">
        <v>38</v>
      </c>
      <c r="F47" s="31" t="s">
        <v>60</v>
      </c>
      <c r="G47" s="33">
        <v>1</v>
      </c>
      <c r="H47" s="29">
        <f t="shared" si="73"/>
        <v>45982</v>
      </c>
      <c r="I47" s="29">
        <f t="shared" si="97"/>
        <v>45982</v>
      </c>
      <c r="J47" s="58" t="s">
        <v>127</v>
      </c>
      <c r="K47" s="31" t="s">
        <v>9</v>
      </c>
      <c r="L47" s="34"/>
      <c r="M47" s="30" t="str">
        <f t="shared" si="87"/>
        <v/>
      </c>
      <c r="O47" s="16" t="str">
        <f t="shared" si="100"/>
        <v/>
      </c>
      <c r="P47" s="17" t="str">
        <f t="shared" si="100"/>
        <v/>
      </c>
      <c r="Q47" s="17" t="str">
        <f t="shared" si="100"/>
        <v/>
      </c>
      <c r="R47" s="17" t="str">
        <f t="shared" si="100"/>
        <v/>
      </c>
      <c r="S47" s="17" t="str">
        <f t="shared" si="100"/>
        <v/>
      </c>
      <c r="T47" s="17" t="str">
        <f t="shared" si="100"/>
        <v/>
      </c>
      <c r="U47" s="17" t="str">
        <f t="shared" si="100"/>
        <v/>
      </c>
      <c r="V47" s="17" t="str">
        <f t="shared" si="100"/>
        <v/>
      </c>
      <c r="W47" s="17" t="str">
        <f t="shared" si="100"/>
        <v/>
      </c>
      <c r="X47" s="17" t="str">
        <f t="shared" si="100"/>
        <v/>
      </c>
      <c r="Y47" s="17" t="str">
        <f t="shared" si="100"/>
        <v/>
      </c>
      <c r="Z47" s="17" t="str">
        <f t="shared" si="100"/>
        <v/>
      </c>
      <c r="AA47" s="17" t="str">
        <f t="shared" si="100"/>
        <v/>
      </c>
      <c r="AB47" s="17" t="str">
        <f t="shared" si="100"/>
        <v/>
      </c>
      <c r="AC47" s="17" t="str">
        <f t="shared" si="100"/>
        <v/>
      </c>
      <c r="AD47" s="17" t="str">
        <f t="shared" si="100"/>
        <v/>
      </c>
      <c r="AE47" s="17" t="str">
        <f t="shared" si="96"/>
        <v>x</v>
      </c>
      <c r="AF47" s="17" t="str">
        <f t="shared" si="96"/>
        <v/>
      </c>
      <c r="AG47" s="17" t="str">
        <f t="shared" si="96"/>
        <v/>
      </c>
      <c r="AH47" s="17" t="str">
        <f t="shared" si="96"/>
        <v/>
      </c>
      <c r="AI47" s="17" t="str">
        <f t="shared" si="96"/>
        <v/>
      </c>
      <c r="AJ47" s="17" t="str">
        <f t="shared" si="96"/>
        <v/>
      </c>
      <c r="AK47" s="17" t="str">
        <f t="shared" si="96"/>
        <v/>
      </c>
      <c r="AL47" s="17" t="str">
        <f t="shared" si="96"/>
        <v/>
      </c>
      <c r="AM47" s="17" t="str">
        <f t="shared" si="96"/>
        <v/>
      </c>
      <c r="AN47" s="17" t="str">
        <f t="shared" si="96"/>
        <v/>
      </c>
      <c r="AO47" s="17" t="str">
        <f t="shared" si="96"/>
        <v/>
      </c>
      <c r="AP47" s="17" t="str">
        <f t="shared" si="96"/>
        <v/>
      </c>
      <c r="AQ47" s="17" t="str">
        <f t="shared" si="96"/>
        <v/>
      </c>
      <c r="AR47" s="17" t="str">
        <f t="shared" si="96"/>
        <v/>
      </c>
      <c r="AS47" s="17" t="str">
        <f t="shared" si="96"/>
        <v/>
      </c>
      <c r="AT47" s="17" t="str">
        <f t="shared" si="96"/>
        <v/>
      </c>
      <c r="AU47" s="17" t="str">
        <f t="shared" si="101"/>
        <v/>
      </c>
      <c r="AV47" s="17" t="str">
        <f t="shared" si="101"/>
        <v/>
      </c>
      <c r="AW47" s="17" t="str">
        <f t="shared" si="101"/>
        <v/>
      </c>
      <c r="AX47" s="17" t="str">
        <f t="shared" si="101"/>
        <v/>
      </c>
      <c r="AY47" s="17" t="str">
        <f t="shared" si="101"/>
        <v/>
      </c>
      <c r="AZ47" s="17" t="str">
        <f t="shared" si="101"/>
        <v/>
      </c>
      <c r="BA47" s="17" t="str">
        <f t="shared" si="101"/>
        <v/>
      </c>
      <c r="BB47" s="17" t="str">
        <f t="shared" si="101"/>
        <v/>
      </c>
      <c r="BC47" s="17" t="str">
        <f t="shared" si="101"/>
        <v/>
      </c>
      <c r="BD47" s="17" t="str">
        <f t="shared" si="101"/>
        <v/>
      </c>
      <c r="BE47" s="17" t="str">
        <f t="shared" si="101"/>
        <v/>
      </c>
      <c r="BF47" s="17" t="str">
        <f t="shared" si="101"/>
        <v/>
      </c>
      <c r="BG47" s="17" t="str">
        <f t="shared" si="101"/>
        <v/>
      </c>
      <c r="BH47" s="17" t="str">
        <f t="shared" si="101"/>
        <v/>
      </c>
      <c r="BI47" s="17" t="str">
        <f t="shared" si="101"/>
        <v/>
      </c>
      <c r="BJ47" s="17" t="str">
        <f t="shared" si="101"/>
        <v/>
      </c>
      <c r="BK47" s="17" t="str">
        <f t="shared" si="99"/>
        <v/>
      </c>
      <c r="BL47" s="17" t="str">
        <f t="shared" si="99"/>
        <v/>
      </c>
      <c r="BM47" s="17" t="str">
        <f t="shared" si="99"/>
        <v/>
      </c>
      <c r="BN47" s="17" t="str">
        <f t="shared" si="99"/>
        <v/>
      </c>
      <c r="BO47" s="17" t="str">
        <f t="shared" si="99"/>
        <v/>
      </c>
      <c r="BP47" s="17" t="str">
        <f t="shared" si="99"/>
        <v/>
      </c>
      <c r="BQ47" s="17" t="str">
        <f t="shared" si="99"/>
        <v/>
      </c>
      <c r="BR47" s="17" t="str">
        <f t="shared" si="99"/>
        <v/>
      </c>
      <c r="BS47" s="17" t="str">
        <f t="shared" si="99"/>
        <v/>
      </c>
      <c r="BT47" s="17" t="str">
        <f t="shared" si="99"/>
        <v/>
      </c>
      <c r="BU47" s="17" t="str">
        <f t="shared" si="99"/>
        <v/>
      </c>
      <c r="BV47" s="17" t="str">
        <f t="shared" si="99"/>
        <v/>
      </c>
      <c r="BW47" s="17" t="str">
        <f t="shared" si="99"/>
        <v/>
      </c>
      <c r="BX47" s="17" t="str">
        <f t="shared" si="88"/>
        <v/>
      </c>
      <c r="BY47" s="17" t="str">
        <f t="shared" si="88"/>
        <v/>
      </c>
      <c r="BZ47" s="17" t="str">
        <f t="shared" si="88"/>
        <v/>
      </c>
      <c r="CA47" s="17" t="str">
        <f t="shared" si="88"/>
        <v/>
      </c>
      <c r="CB47" s="17" t="str">
        <f t="shared" si="88"/>
        <v/>
      </c>
      <c r="CC47" s="17" t="str">
        <f t="shared" si="88"/>
        <v/>
      </c>
      <c r="CD47" s="17" t="str">
        <f t="shared" si="88"/>
        <v/>
      </c>
      <c r="CE47" s="17" t="str">
        <f t="shared" si="88"/>
        <v/>
      </c>
      <c r="CF47" s="17" t="str">
        <f t="shared" si="88"/>
        <v/>
      </c>
      <c r="CG47" s="17" t="str">
        <f t="shared" si="88"/>
        <v/>
      </c>
      <c r="CH47" s="17" t="str">
        <f t="shared" si="88"/>
        <v/>
      </c>
      <c r="CI47" s="17" t="str">
        <f t="shared" si="103"/>
        <v/>
      </c>
      <c r="CJ47" s="17" t="str">
        <f t="shared" si="103"/>
        <v/>
      </c>
      <c r="CK47" s="17" t="str">
        <f t="shared" si="103"/>
        <v/>
      </c>
      <c r="CL47" s="17" t="str">
        <f t="shared" si="103"/>
        <v/>
      </c>
      <c r="CM47" s="17" t="str">
        <f t="shared" si="103"/>
        <v/>
      </c>
      <c r="CN47" s="17" t="str">
        <f t="shared" si="103"/>
        <v/>
      </c>
      <c r="CO47" s="17" t="str">
        <f t="shared" si="103"/>
        <v/>
      </c>
      <c r="CP47" s="17" t="str">
        <f t="shared" si="103"/>
        <v/>
      </c>
      <c r="CQ47" s="17" t="str">
        <f t="shared" si="103"/>
        <v/>
      </c>
      <c r="CR47" s="17" t="str">
        <f t="shared" si="103"/>
        <v/>
      </c>
      <c r="CS47" s="17" t="str">
        <f t="shared" si="103"/>
        <v/>
      </c>
      <c r="CT47" s="17" t="str">
        <f t="shared" si="103"/>
        <v/>
      </c>
      <c r="CU47" s="17" t="str">
        <f t="shared" si="103"/>
        <v/>
      </c>
      <c r="CV47" s="17" t="str">
        <f t="shared" si="98"/>
        <v/>
      </c>
      <c r="CW47" s="17" t="str">
        <f t="shared" si="98"/>
        <v/>
      </c>
      <c r="CX47" s="17" t="str">
        <f t="shared" si="98"/>
        <v/>
      </c>
      <c r="CY47" s="17" t="str">
        <f t="shared" si="98"/>
        <v/>
      </c>
      <c r="CZ47" s="17" t="str">
        <f t="shared" si="98"/>
        <v/>
      </c>
      <c r="DA47" s="17" t="str">
        <f t="shared" si="98"/>
        <v/>
      </c>
      <c r="DB47" s="17" t="str">
        <f t="shared" si="98"/>
        <v/>
      </c>
      <c r="DC47" s="17" t="str">
        <f t="shared" si="98"/>
        <v/>
      </c>
      <c r="DE47" s="23">
        <f t="shared" si="90"/>
        <v>0</v>
      </c>
      <c r="DF47" s="23">
        <f t="shared" si="91"/>
        <v>0</v>
      </c>
    </row>
    <row r="48" spans="2:110" ht="15.75" x14ac:dyDescent="0.25">
      <c r="B48" s="28">
        <f t="shared" si="95"/>
        <v>40</v>
      </c>
      <c r="C48" s="55" t="s">
        <v>116</v>
      </c>
      <c r="D48" s="31">
        <v>1</v>
      </c>
      <c r="E48" s="32">
        <v>39</v>
      </c>
      <c r="F48" s="31" t="s">
        <v>60</v>
      </c>
      <c r="G48" s="33">
        <v>0</v>
      </c>
      <c r="H48" s="29">
        <f t="shared" si="73"/>
        <v>45982</v>
      </c>
      <c r="I48" s="29">
        <f t="shared" ref="I48:I61" si="104">IF(H48="","",H48+D48-1)</f>
        <v>45982</v>
      </c>
      <c r="J48" s="58" t="s">
        <v>127</v>
      </c>
      <c r="K48" s="31" t="s">
        <v>9</v>
      </c>
      <c r="L48" s="34"/>
      <c r="M48" s="30" t="str">
        <f t="shared" ref="M48:M61" si="105">IF(H48="","",IF(AND(K48="Completado",L48=""),"Completar fecha de finalización",IF(AND(K48="Completado",L48&lt;&gt;""),L48-H48+1,"")))</f>
        <v/>
      </c>
      <c r="O48" s="16" t="str">
        <f t="shared" si="100"/>
        <v/>
      </c>
      <c r="P48" s="17" t="str">
        <f t="shared" si="100"/>
        <v/>
      </c>
      <c r="Q48" s="17" t="str">
        <f t="shared" si="100"/>
        <v/>
      </c>
      <c r="R48" s="17" t="str">
        <f t="shared" si="100"/>
        <v/>
      </c>
      <c r="S48" s="17" t="str">
        <f t="shared" si="100"/>
        <v/>
      </c>
      <c r="T48" s="17" t="str">
        <f t="shared" si="100"/>
        <v/>
      </c>
      <c r="U48" s="17" t="str">
        <f t="shared" si="100"/>
        <v/>
      </c>
      <c r="V48" s="17" t="str">
        <f t="shared" si="100"/>
        <v/>
      </c>
      <c r="W48" s="17" t="str">
        <f t="shared" si="100"/>
        <v/>
      </c>
      <c r="X48" s="17" t="str">
        <f t="shared" si="100"/>
        <v/>
      </c>
      <c r="Y48" s="17" t="str">
        <f t="shared" si="100"/>
        <v/>
      </c>
      <c r="Z48" s="17" t="str">
        <f t="shared" si="100"/>
        <v/>
      </c>
      <c r="AA48" s="17" t="str">
        <f t="shared" si="100"/>
        <v/>
      </c>
      <c r="AB48" s="17" t="str">
        <f t="shared" si="100"/>
        <v/>
      </c>
      <c r="AC48" s="17" t="str">
        <f t="shared" si="100"/>
        <v/>
      </c>
      <c r="AD48" s="17" t="str">
        <f t="shared" si="100"/>
        <v/>
      </c>
      <c r="AE48" s="17" t="str">
        <f t="shared" si="96"/>
        <v>x</v>
      </c>
      <c r="AF48" s="17" t="str">
        <f t="shared" si="96"/>
        <v/>
      </c>
      <c r="AG48" s="17" t="str">
        <f t="shared" si="96"/>
        <v/>
      </c>
      <c r="AH48" s="17" t="str">
        <f t="shared" si="96"/>
        <v/>
      </c>
      <c r="AI48" s="17" t="str">
        <f t="shared" si="96"/>
        <v/>
      </c>
      <c r="AJ48" s="17" t="str">
        <f t="shared" si="96"/>
        <v/>
      </c>
      <c r="AK48" s="17" t="str">
        <f t="shared" si="96"/>
        <v/>
      </c>
      <c r="AL48" s="17" t="str">
        <f t="shared" si="96"/>
        <v/>
      </c>
      <c r="AM48" s="17" t="str">
        <f t="shared" si="96"/>
        <v/>
      </c>
      <c r="AN48" s="17" t="str">
        <f t="shared" si="96"/>
        <v/>
      </c>
      <c r="AO48" s="17" t="str">
        <f t="shared" si="96"/>
        <v/>
      </c>
      <c r="AP48" s="17" t="str">
        <f t="shared" si="96"/>
        <v/>
      </c>
      <c r="AQ48" s="17" t="str">
        <f t="shared" si="96"/>
        <v/>
      </c>
      <c r="AR48" s="17" t="str">
        <f t="shared" si="96"/>
        <v/>
      </c>
      <c r="AS48" s="17" t="str">
        <f t="shared" si="96"/>
        <v/>
      </c>
      <c r="AT48" s="17" t="str">
        <f t="shared" si="96"/>
        <v/>
      </c>
      <c r="AU48" s="17" t="str">
        <f t="shared" si="101"/>
        <v/>
      </c>
      <c r="AV48" s="17" t="str">
        <f t="shared" si="101"/>
        <v/>
      </c>
      <c r="AW48" s="17" t="str">
        <f t="shared" si="101"/>
        <v/>
      </c>
      <c r="AX48" s="17" t="str">
        <f t="shared" si="101"/>
        <v/>
      </c>
      <c r="AY48" s="17" t="str">
        <f t="shared" si="101"/>
        <v/>
      </c>
      <c r="AZ48" s="17" t="str">
        <f t="shared" si="101"/>
        <v/>
      </c>
      <c r="BA48" s="17" t="str">
        <f t="shared" si="101"/>
        <v/>
      </c>
      <c r="BB48" s="17" t="str">
        <f t="shared" si="101"/>
        <v/>
      </c>
      <c r="BC48" s="17" t="str">
        <f t="shared" si="101"/>
        <v/>
      </c>
      <c r="BD48" s="17" t="str">
        <f t="shared" si="101"/>
        <v/>
      </c>
      <c r="BE48" s="17" t="str">
        <f t="shared" si="101"/>
        <v/>
      </c>
      <c r="BF48" s="17" t="str">
        <f t="shared" si="101"/>
        <v/>
      </c>
      <c r="BG48" s="17" t="str">
        <f t="shared" si="101"/>
        <v/>
      </c>
      <c r="BH48" s="17" t="str">
        <f t="shared" si="101"/>
        <v/>
      </c>
      <c r="BI48" s="17" t="str">
        <f t="shared" si="101"/>
        <v/>
      </c>
      <c r="BJ48" s="17" t="str">
        <f t="shared" si="101"/>
        <v/>
      </c>
      <c r="BK48" s="17" t="str">
        <f t="shared" si="99"/>
        <v/>
      </c>
      <c r="BL48" s="17" t="str">
        <f t="shared" si="99"/>
        <v/>
      </c>
      <c r="BM48" s="17" t="str">
        <f t="shared" si="99"/>
        <v/>
      </c>
      <c r="BN48" s="17" t="str">
        <f t="shared" si="99"/>
        <v/>
      </c>
      <c r="BO48" s="17" t="str">
        <f t="shared" si="99"/>
        <v/>
      </c>
      <c r="BP48" s="17" t="str">
        <f t="shared" si="99"/>
        <v/>
      </c>
      <c r="BQ48" s="17" t="str">
        <f t="shared" si="99"/>
        <v/>
      </c>
      <c r="BR48" s="17" t="str">
        <f t="shared" si="99"/>
        <v/>
      </c>
      <c r="BS48" s="17" t="str">
        <f t="shared" si="99"/>
        <v/>
      </c>
      <c r="BT48" s="17" t="str">
        <f t="shared" si="99"/>
        <v/>
      </c>
      <c r="BU48" s="17" t="str">
        <f t="shared" si="99"/>
        <v/>
      </c>
      <c r="BV48" s="17" t="str">
        <f t="shared" si="99"/>
        <v/>
      </c>
      <c r="BW48" s="17" t="str">
        <f t="shared" si="99"/>
        <v/>
      </c>
      <c r="BX48" s="17" t="str">
        <f t="shared" si="88"/>
        <v/>
      </c>
      <c r="BY48" s="17" t="str">
        <f t="shared" si="88"/>
        <v/>
      </c>
      <c r="BZ48" s="17" t="str">
        <f t="shared" si="88"/>
        <v/>
      </c>
      <c r="CA48" s="17" t="str">
        <f t="shared" si="88"/>
        <v/>
      </c>
      <c r="CB48" s="17" t="str">
        <f t="shared" si="88"/>
        <v/>
      </c>
      <c r="CC48" s="17" t="str">
        <f t="shared" si="88"/>
        <v/>
      </c>
      <c r="CD48" s="17" t="str">
        <f t="shared" si="88"/>
        <v/>
      </c>
      <c r="CE48" s="17" t="str">
        <f t="shared" si="88"/>
        <v/>
      </c>
      <c r="CF48" s="17" t="str">
        <f t="shared" ref="BX48:CH61" si="106">IF(AND(CF$8&gt;=$H48,CF$8&lt;=$I48),"x","")</f>
        <v/>
      </c>
      <c r="CG48" s="17" t="str">
        <f t="shared" si="106"/>
        <v/>
      </c>
      <c r="CH48" s="17" t="str">
        <f t="shared" si="106"/>
        <v/>
      </c>
      <c r="CI48" s="17" t="str">
        <f t="shared" si="103"/>
        <v/>
      </c>
      <c r="CJ48" s="17" t="str">
        <f t="shared" si="103"/>
        <v/>
      </c>
      <c r="CK48" s="17" t="str">
        <f t="shared" si="103"/>
        <v/>
      </c>
      <c r="CL48" s="17" t="str">
        <f t="shared" si="103"/>
        <v/>
      </c>
      <c r="CM48" s="17" t="str">
        <f t="shared" si="103"/>
        <v/>
      </c>
      <c r="CN48" s="17" t="str">
        <f t="shared" si="103"/>
        <v/>
      </c>
      <c r="CO48" s="17" t="str">
        <f t="shared" si="103"/>
        <v/>
      </c>
      <c r="CP48" s="17" t="str">
        <f t="shared" si="103"/>
        <v/>
      </c>
      <c r="CQ48" s="17" t="str">
        <f t="shared" si="103"/>
        <v/>
      </c>
      <c r="CR48" s="17" t="str">
        <f t="shared" si="103"/>
        <v/>
      </c>
      <c r="CS48" s="17" t="str">
        <f t="shared" si="103"/>
        <v/>
      </c>
      <c r="CT48" s="17" t="str">
        <f t="shared" si="103"/>
        <v/>
      </c>
      <c r="CU48" s="17" t="str">
        <f t="shared" si="103"/>
        <v/>
      </c>
      <c r="CV48" s="17" t="str">
        <f t="shared" si="98"/>
        <v/>
      </c>
      <c r="CW48" s="17" t="str">
        <f t="shared" si="98"/>
        <v/>
      </c>
      <c r="CX48" s="17" t="str">
        <f t="shared" si="98"/>
        <v/>
      </c>
      <c r="CY48" s="17" t="str">
        <f t="shared" si="98"/>
        <v/>
      </c>
      <c r="CZ48" s="17" t="str">
        <f t="shared" si="98"/>
        <v/>
      </c>
      <c r="DA48" s="17" t="str">
        <f t="shared" si="98"/>
        <v/>
      </c>
      <c r="DB48" s="17" t="str">
        <f t="shared" si="98"/>
        <v/>
      </c>
      <c r="DC48" s="17" t="str">
        <f t="shared" si="98"/>
        <v/>
      </c>
      <c r="DE48" s="23">
        <f t="shared" si="90"/>
        <v>0</v>
      </c>
      <c r="DF48" s="23">
        <f t="shared" si="91"/>
        <v>0</v>
      </c>
    </row>
    <row r="49" spans="2:110" ht="15.75" x14ac:dyDescent="0.25">
      <c r="B49" s="28">
        <f t="shared" si="95"/>
        <v>41</v>
      </c>
      <c r="C49" s="55" t="s">
        <v>117</v>
      </c>
      <c r="D49" s="31">
        <v>1</v>
      </c>
      <c r="E49" s="32">
        <v>40</v>
      </c>
      <c r="F49" s="31" t="s">
        <v>60</v>
      </c>
      <c r="G49" s="33">
        <v>1</v>
      </c>
      <c r="H49" s="29">
        <f t="shared" si="73"/>
        <v>45983</v>
      </c>
      <c r="I49" s="29">
        <f t="shared" si="104"/>
        <v>45983</v>
      </c>
      <c r="J49" s="58" t="s">
        <v>127</v>
      </c>
      <c r="K49" s="31" t="s">
        <v>9</v>
      </c>
      <c r="L49" s="34"/>
      <c r="M49" s="30" t="str">
        <f t="shared" si="105"/>
        <v/>
      </c>
      <c r="O49" s="16" t="str">
        <f t="shared" si="100"/>
        <v/>
      </c>
      <c r="P49" s="17" t="str">
        <f t="shared" si="100"/>
        <v/>
      </c>
      <c r="Q49" s="17" t="str">
        <f t="shared" si="100"/>
        <v/>
      </c>
      <c r="R49" s="17" t="str">
        <f t="shared" si="100"/>
        <v/>
      </c>
      <c r="S49" s="17" t="str">
        <f t="shared" si="100"/>
        <v/>
      </c>
      <c r="T49" s="17" t="str">
        <f t="shared" si="100"/>
        <v/>
      </c>
      <c r="U49" s="17" t="str">
        <f t="shared" si="100"/>
        <v/>
      </c>
      <c r="V49" s="17" t="str">
        <f t="shared" si="100"/>
        <v/>
      </c>
      <c r="W49" s="17" t="str">
        <f t="shared" si="100"/>
        <v/>
      </c>
      <c r="X49" s="17" t="str">
        <f t="shared" si="100"/>
        <v/>
      </c>
      <c r="Y49" s="17" t="str">
        <f t="shared" si="100"/>
        <v/>
      </c>
      <c r="Z49" s="17" t="str">
        <f t="shared" si="100"/>
        <v/>
      </c>
      <c r="AA49" s="17" t="str">
        <f t="shared" si="100"/>
        <v/>
      </c>
      <c r="AB49" s="17" t="str">
        <f t="shared" si="100"/>
        <v/>
      </c>
      <c r="AC49" s="17" t="str">
        <f t="shared" si="100"/>
        <v/>
      </c>
      <c r="AD49" s="17" t="str">
        <f t="shared" si="100"/>
        <v/>
      </c>
      <c r="AE49" s="17" t="str">
        <f t="shared" si="96"/>
        <v/>
      </c>
      <c r="AF49" s="17" t="str">
        <f t="shared" si="96"/>
        <v>x</v>
      </c>
      <c r="AG49" s="17" t="str">
        <f t="shared" si="96"/>
        <v/>
      </c>
      <c r="AH49" s="17" t="str">
        <f t="shared" si="96"/>
        <v/>
      </c>
      <c r="AI49" s="17" t="str">
        <f t="shared" si="96"/>
        <v/>
      </c>
      <c r="AJ49" s="17" t="str">
        <f t="shared" si="96"/>
        <v/>
      </c>
      <c r="AK49" s="17" t="str">
        <f t="shared" si="96"/>
        <v/>
      </c>
      <c r="AL49" s="17" t="str">
        <f t="shared" si="96"/>
        <v/>
      </c>
      <c r="AM49" s="17" t="str">
        <f t="shared" si="96"/>
        <v/>
      </c>
      <c r="AN49" s="17" t="str">
        <f t="shared" si="96"/>
        <v/>
      </c>
      <c r="AO49" s="17" t="str">
        <f t="shared" si="96"/>
        <v/>
      </c>
      <c r="AP49" s="17" t="str">
        <f t="shared" si="96"/>
        <v/>
      </c>
      <c r="AQ49" s="17" t="str">
        <f t="shared" si="96"/>
        <v/>
      </c>
      <c r="AR49" s="17" t="str">
        <f t="shared" si="96"/>
        <v/>
      </c>
      <c r="AS49" s="17" t="str">
        <f t="shared" si="96"/>
        <v/>
      </c>
      <c r="AT49" s="17" t="str">
        <f t="shared" si="96"/>
        <v/>
      </c>
      <c r="AU49" s="17" t="str">
        <f t="shared" si="101"/>
        <v/>
      </c>
      <c r="AV49" s="17" t="str">
        <f t="shared" si="101"/>
        <v/>
      </c>
      <c r="AW49" s="17" t="str">
        <f t="shared" si="101"/>
        <v/>
      </c>
      <c r="AX49" s="17" t="str">
        <f t="shared" si="101"/>
        <v/>
      </c>
      <c r="AY49" s="17" t="str">
        <f t="shared" si="101"/>
        <v/>
      </c>
      <c r="AZ49" s="17" t="str">
        <f t="shared" si="101"/>
        <v/>
      </c>
      <c r="BA49" s="17" t="str">
        <f t="shared" si="101"/>
        <v/>
      </c>
      <c r="BB49" s="17" t="str">
        <f t="shared" si="101"/>
        <v/>
      </c>
      <c r="BC49" s="17" t="str">
        <f t="shared" si="101"/>
        <v/>
      </c>
      <c r="BD49" s="17" t="str">
        <f t="shared" si="101"/>
        <v/>
      </c>
      <c r="BE49" s="17" t="str">
        <f t="shared" si="101"/>
        <v/>
      </c>
      <c r="BF49" s="17" t="str">
        <f t="shared" si="101"/>
        <v/>
      </c>
      <c r="BG49" s="17" t="str">
        <f t="shared" si="101"/>
        <v/>
      </c>
      <c r="BH49" s="17" t="str">
        <f t="shared" si="101"/>
        <v/>
      </c>
      <c r="BI49" s="17" t="str">
        <f t="shared" si="101"/>
        <v/>
      </c>
      <c r="BJ49" s="17" t="str">
        <f t="shared" si="101"/>
        <v/>
      </c>
      <c r="BK49" s="17" t="str">
        <f t="shared" si="99"/>
        <v/>
      </c>
      <c r="BL49" s="17" t="str">
        <f t="shared" si="99"/>
        <v/>
      </c>
      <c r="BM49" s="17" t="str">
        <f t="shared" si="99"/>
        <v/>
      </c>
      <c r="BN49" s="17" t="str">
        <f t="shared" si="99"/>
        <v/>
      </c>
      <c r="BO49" s="17" t="str">
        <f t="shared" si="99"/>
        <v/>
      </c>
      <c r="BP49" s="17" t="str">
        <f t="shared" si="99"/>
        <v/>
      </c>
      <c r="BQ49" s="17" t="str">
        <f t="shared" si="99"/>
        <v/>
      </c>
      <c r="BR49" s="17" t="str">
        <f t="shared" si="99"/>
        <v/>
      </c>
      <c r="BS49" s="17" t="str">
        <f t="shared" si="99"/>
        <v/>
      </c>
      <c r="BT49" s="17" t="str">
        <f t="shared" si="99"/>
        <v/>
      </c>
      <c r="BU49" s="17" t="str">
        <f t="shared" si="99"/>
        <v/>
      </c>
      <c r="BV49" s="17" t="str">
        <f t="shared" si="99"/>
        <v/>
      </c>
      <c r="BW49" s="17" t="str">
        <f t="shared" si="99"/>
        <v/>
      </c>
      <c r="BX49" s="17" t="str">
        <f t="shared" si="106"/>
        <v/>
      </c>
      <c r="BY49" s="17" t="str">
        <f t="shared" si="106"/>
        <v/>
      </c>
      <c r="BZ49" s="17" t="str">
        <f t="shared" si="106"/>
        <v/>
      </c>
      <c r="CA49" s="17" t="str">
        <f t="shared" si="106"/>
        <v/>
      </c>
      <c r="CB49" s="17" t="str">
        <f t="shared" si="106"/>
        <v/>
      </c>
      <c r="CC49" s="17" t="str">
        <f t="shared" si="106"/>
        <v/>
      </c>
      <c r="CD49" s="17" t="str">
        <f t="shared" si="106"/>
        <v/>
      </c>
      <c r="CE49" s="17" t="str">
        <f t="shared" si="106"/>
        <v/>
      </c>
      <c r="CF49" s="17" t="str">
        <f t="shared" si="106"/>
        <v/>
      </c>
      <c r="CG49" s="17" t="str">
        <f t="shared" si="106"/>
        <v/>
      </c>
      <c r="CH49" s="17" t="str">
        <f t="shared" si="106"/>
        <v/>
      </c>
      <c r="CI49" s="17" t="str">
        <f t="shared" si="103"/>
        <v/>
      </c>
      <c r="CJ49" s="17" t="str">
        <f t="shared" si="103"/>
        <v/>
      </c>
      <c r="CK49" s="17" t="str">
        <f t="shared" si="103"/>
        <v/>
      </c>
      <c r="CL49" s="17" t="str">
        <f t="shared" si="103"/>
        <v/>
      </c>
      <c r="CM49" s="17" t="str">
        <f t="shared" si="103"/>
        <v/>
      </c>
      <c r="CN49" s="17" t="str">
        <f t="shared" si="103"/>
        <v/>
      </c>
      <c r="CO49" s="17" t="str">
        <f t="shared" si="103"/>
        <v/>
      </c>
      <c r="CP49" s="17" t="str">
        <f t="shared" si="103"/>
        <v/>
      </c>
      <c r="CQ49" s="17" t="str">
        <f t="shared" si="103"/>
        <v/>
      </c>
      <c r="CR49" s="17" t="str">
        <f t="shared" si="103"/>
        <v/>
      </c>
      <c r="CS49" s="17" t="str">
        <f t="shared" si="103"/>
        <v/>
      </c>
      <c r="CT49" s="17" t="str">
        <f t="shared" si="103"/>
        <v/>
      </c>
      <c r="CU49" s="17" t="str">
        <f t="shared" si="103"/>
        <v/>
      </c>
      <c r="CV49" s="17" t="str">
        <f t="shared" si="98"/>
        <v/>
      </c>
      <c r="CW49" s="17" t="str">
        <f t="shared" si="98"/>
        <v/>
      </c>
      <c r="CX49" s="17" t="str">
        <f t="shared" si="98"/>
        <v/>
      </c>
      <c r="CY49" s="17" t="str">
        <f t="shared" si="98"/>
        <v/>
      </c>
      <c r="CZ49" s="17" t="str">
        <f t="shared" si="98"/>
        <v/>
      </c>
      <c r="DA49" s="17" t="str">
        <f t="shared" si="98"/>
        <v/>
      </c>
      <c r="DB49" s="17" t="str">
        <f t="shared" si="98"/>
        <v/>
      </c>
      <c r="DC49" s="17" t="str">
        <f t="shared" si="98"/>
        <v/>
      </c>
      <c r="DE49" s="23">
        <f t="shared" si="90"/>
        <v>0</v>
      </c>
      <c r="DF49" s="23">
        <f t="shared" si="91"/>
        <v>0</v>
      </c>
    </row>
    <row r="50" spans="2:110" ht="15.75" x14ac:dyDescent="0.25">
      <c r="B50" s="28">
        <f t="shared" si="95"/>
        <v>42</v>
      </c>
      <c r="C50" s="55" t="s">
        <v>118</v>
      </c>
      <c r="D50" s="31">
        <v>1</v>
      </c>
      <c r="E50" s="32">
        <v>41</v>
      </c>
      <c r="F50" s="31" t="s">
        <v>60</v>
      </c>
      <c r="G50" s="33">
        <v>0</v>
      </c>
      <c r="H50" s="29">
        <f t="shared" si="73"/>
        <v>45983</v>
      </c>
      <c r="I50" s="29">
        <f t="shared" si="104"/>
        <v>45983</v>
      </c>
      <c r="J50" s="58" t="s">
        <v>127</v>
      </c>
      <c r="K50" s="31" t="s">
        <v>9</v>
      </c>
      <c r="L50" s="34"/>
      <c r="M50" s="30" t="str">
        <f t="shared" si="105"/>
        <v/>
      </c>
      <c r="O50" s="16" t="str">
        <f t="shared" si="100"/>
        <v/>
      </c>
      <c r="P50" s="17" t="str">
        <f t="shared" si="100"/>
        <v/>
      </c>
      <c r="Q50" s="17" t="str">
        <f t="shared" si="100"/>
        <v/>
      </c>
      <c r="R50" s="17" t="str">
        <f t="shared" si="100"/>
        <v/>
      </c>
      <c r="S50" s="17" t="str">
        <f t="shared" si="100"/>
        <v/>
      </c>
      <c r="T50" s="17" t="str">
        <f t="shared" si="100"/>
        <v/>
      </c>
      <c r="U50" s="17" t="str">
        <f t="shared" si="100"/>
        <v/>
      </c>
      <c r="V50" s="17" t="str">
        <f t="shared" si="100"/>
        <v/>
      </c>
      <c r="W50" s="17" t="str">
        <f t="shared" si="100"/>
        <v/>
      </c>
      <c r="X50" s="17" t="str">
        <f t="shared" si="100"/>
        <v/>
      </c>
      <c r="Y50" s="17" t="str">
        <f t="shared" si="100"/>
        <v/>
      </c>
      <c r="Z50" s="17" t="str">
        <f t="shared" si="100"/>
        <v/>
      </c>
      <c r="AA50" s="17" t="str">
        <f t="shared" si="100"/>
        <v/>
      </c>
      <c r="AB50" s="17" t="str">
        <f t="shared" si="100"/>
        <v/>
      </c>
      <c r="AC50" s="17" t="str">
        <f t="shared" si="100"/>
        <v/>
      </c>
      <c r="AD50" s="17" t="str">
        <f t="shared" si="100"/>
        <v/>
      </c>
      <c r="AE50" s="17" t="str">
        <f t="shared" si="96"/>
        <v/>
      </c>
      <c r="AF50" s="17" t="str">
        <f t="shared" si="96"/>
        <v>x</v>
      </c>
      <c r="AG50" s="17" t="str">
        <f t="shared" si="96"/>
        <v/>
      </c>
      <c r="AH50" s="17" t="str">
        <f t="shared" si="96"/>
        <v/>
      </c>
      <c r="AI50" s="17" t="str">
        <f t="shared" si="96"/>
        <v/>
      </c>
      <c r="AJ50" s="17" t="str">
        <f t="shared" si="96"/>
        <v/>
      </c>
      <c r="AK50" s="17" t="str">
        <f t="shared" si="96"/>
        <v/>
      </c>
      <c r="AL50" s="17" t="str">
        <f t="shared" si="96"/>
        <v/>
      </c>
      <c r="AM50" s="17" t="str">
        <f t="shared" si="96"/>
        <v/>
      </c>
      <c r="AN50" s="17" t="str">
        <f t="shared" si="96"/>
        <v/>
      </c>
      <c r="AO50" s="17" t="str">
        <f t="shared" si="96"/>
        <v/>
      </c>
      <c r="AP50" s="17" t="str">
        <f t="shared" si="96"/>
        <v/>
      </c>
      <c r="AQ50" s="17" t="str">
        <f t="shared" si="96"/>
        <v/>
      </c>
      <c r="AR50" s="17" t="str">
        <f t="shared" si="96"/>
        <v/>
      </c>
      <c r="AS50" s="17" t="str">
        <f t="shared" si="96"/>
        <v/>
      </c>
      <c r="AT50" s="17" t="str">
        <f t="shared" ref="AE50:AT61" si="107">IF(AND(AT$8&gt;=$H50,AT$8&lt;=$I50),"x","")</f>
        <v/>
      </c>
      <c r="AU50" s="17" t="str">
        <f t="shared" si="101"/>
        <v/>
      </c>
      <c r="AV50" s="17" t="str">
        <f t="shared" si="101"/>
        <v/>
      </c>
      <c r="AW50" s="17" t="str">
        <f t="shared" si="101"/>
        <v/>
      </c>
      <c r="AX50" s="17" t="str">
        <f t="shared" si="101"/>
        <v/>
      </c>
      <c r="AY50" s="17" t="str">
        <f t="shared" si="101"/>
        <v/>
      </c>
      <c r="AZ50" s="17" t="str">
        <f t="shared" si="101"/>
        <v/>
      </c>
      <c r="BA50" s="17" t="str">
        <f t="shared" si="101"/>
        <v/>
      </c>
      <c r="BB50" s="17" t="str">
        <f t="shared" si="101"/>
        <v/>
      </c>
      <c r="BC50" s="17" t="str">
        <f t="shared" si="101"/>
        <v/>
      </c>
      <c r="BD50" s="17" t="str">
        <f t="shared" si="101"/>
        <v/>
      </c>
      <c r="BE50" s="17" t="str">
        <f t="shared" si="101"/>
        <v/>
      </c>
      <c r="BF50" s="17" t="str">
        <f t="shared" si="101"/>
        <v/>
      </c>
      <c r="BG50" s="17" t="str">
        <f t="shared" si="101"/>
        <v/>
      </c>
      <c r="BH50" s="17" t="str">
        <f t="shared" si="101"/>
        <v/>
      </c>
      <c r="BI50" s="17" t="str">
        <f t="shared" si="101"/>
        <v/>
      </c>
      <c r="BJ50" s="17" t="str">
        <f t="shared" si="101"/>
        <v/>
      </c>
      <c r="BK50" s="17" t="str">
        <f t="shared" si="99"/>
        <v/>
      </c>
      <c r="BL50" s="17" t="str">
        <f t="shared" si="99"/>
        <v/>
      </c>
      <c r="BM50" s="17" t="str">
        <f t="shared" si="99"/>
        <v/>
      </c>
      <c r="BN50" s="17" t="str">
        <f t="shared" si="99"/>
        <v/>
      </c>
      <c r="BO50" s="17" t="str">
        <f t="shared" si="99"/>
        <v/>
      </c>
      <c r="BP50" s="17" t="str">
        <f t="shared" si="99"/>
        <v/>
      </c>
      <c r="BQ50" s="17" t="str">
        <f t="shared" si="99"/>
        <v/>
      </c>
      <c r="BR50" s="17" t="str">
        <f t="shared" si="99"/>
        <v/>
      </c>
      <c r="BS50" s="17" t="str">
        <f t="shared" si="99"/>
        <v/>
      </c>
      <c r="BT50" s="17" t="str">
        <f t="shared" si="99"/>
        <v/>
      </c>
      <c r="BU50" s="17" t="str">
        <f t="shared" si="99"/>
        <v/>
      </c>
      <c r="BV50" s="17" t="str">
        <f t="shared" si="99"/>
        <v/>
      </c>
      <c r="BW50" s="17" t="str">
        <f t="shared" si="99"/>
        <v/>
      </c>
      <c r="BX50" s="17" t="str">
        <f t="shared" si="106"/>
        <v/>
      </c>
      <c r="BY50" s="17" t="str">
        <f t="shared" si="106"/>
        <v/>
      </c>
      <c r="BZ50" s="17" t="str">
        <f t="shared" si="106"/>
        <v/>
      </c>
      <c r="CA50" s="17" t="str">
        <f t="shared" si="106"/>
        <v/>
      </c>
      <c r="CB50" s="17" t="str">
        <f t="shared" si="106"/>
        <v/>
      </c>
      <c r="CC50" s="17" t="str">
        <f t="shared" si="106"/>
        <v/>
      </c>
      <c r="CD50" s="17" t="str">
        <f t="shared" si="106"/>
        <v/>
      </c>
      <c r="CE50" s="17" t="str">
        <f t="shared" si="106"/>
        <v/>
      </c>
      <c r="CF50" s="17" t="str">
        <f t="shared" si="106"/>
        <v/>
      </c>
      <c r="CG50" s="17" t="str">
        <f t="shared" si="106"/>
        <v/>
      </c>
      <c r="CH50" s="17" t="str">
        <f t="shared" si="106"/>
        <v/>
      </c>
      <c r="CI50" s="17" t="str">
        <f t="shared" si="103"/>
        <v/>
      </c>
      <c r="CJ50" s="17" t="str">
        <f t="shared" si="103"/>
        <v/>
      </c>
      <c r="CK50" s="17" t="str">
        <f t="shared" si="103"/>
        <v/>
      </c>
      <c r="CL50" s="17" t="str">
        <f t="shared" si="103"/>
        <v/>
      </c>
      <c r="CM50" s="17" t="str">
        <f t="shared" si="103"/>
        <v/>
      </c>
      <c r="CN50" s="17" t="str">
        <f t="shared" si="103"/>
        <v/>
      </c>
      <c r="CO50" s="17" t="str">
        <f t="shared" si="103"/>
        <v/>
      </c>
      <c r="CP50" s="17" t="str">
        <f t="shared" si="103"/>
        <v/>
      </c>
      <c r="CQ50" s="17" t="str">
        <f t="shared" si="103"/>
        <v/>
      </c>
      <c r="CR50" s="17" t="str">
        <f t="shared" si="103"/>
        <v/>
      </c>
      <c r="CS50" s="17" t="str">
        <f t="shared" si="103"/>
        <v/>
      </c>
      <c r="CT50" s="17" t="str">
        <f t="shared" si="103"/>
        <v/>
      </c>
      <c r="CU50" s="17" t="str">
        <f t="shared" si="103"/>
        <v/>
      </c>
      <c r="CV50" s="17" t="str">
        <f t="shared" si="98"/>
        <v/>
      </c>
      <c r="CW50" s="17" t="str">
        <f t="shared" si="98"/>
        <v/>
      </c>
      <c r="CX50" s="17" t="str">
        <f t="shared" si="98"/>
        <v/>
      </c>
      <c r="CY50" s="17" t="str">
        <f t="shared" si="98"/>
        <v/>
      </c>
      <c r="CZ50" s="17" t="str">
        <f t="shared" si="98"/>
        <v/>
      </c>
      <c r="DA50" s="17" t="str">
        <f t="shared" si="98"/>
        <v/>
      </c>
      <c r="DB50" s="17" t="str">
        <f t="shared" si="98"/>
        <v/>
      </c>
      <c r="DC50" s="17" t="str">
        <f t="shared" si="98"/>
        <v/>
      </c>
      <c r="DE50" s="23">
        <f t="shared" si="90"/>
        <v>0</v>
      </c>
      <c r="DF50" s="23">
        <f t="shared" si="91"/>
        <v>0</v>
      </c>
    </row>
    <row r="51" spans="2:110" ht="15.75" x14ac:dyDescent="0.25">
      <c r="B51" s="28">
        <f t="shared" si="95"/>
        <v>43</v>
      </c>
      <c r="C51" s="56" t="s">
        <v>83</v>
      </c>
      <c r="D51" s="31">
        <v>4</v>
      </c>
      <c r="E51" s="32">
        <v>33</v>
      </c>
      <c r="F51" s="31" t="s">
        <v>60</v>
      </c>
      <c r="G51" s="33">
        <v>1</v>
      </c>
      <c r="H51" s="29">
        <f t="shared" si="73"/>
        <v>45984</v>
      </c>
      <c r="I51" s="29">
        <f t="shared" si="104"/>
        <v>45987</v>
      </c>
      <c r="J51" s="58" t="s">
        <v>127</v>
      </c>
      <c r="K51" s="31" t="s">
        <v>9</v>
      </c>
      <c r="L51" s="34"/>
      <c r="M51" s="30" t="str">
        <f t="shared" si="105"/>
        <v/>
      </c>
      <c r="O51" s="16" t="str">
        <f t="shared" si="100"/>
        <v/>
      </c>
      <c r="P51" s="17" t="str">
        <f t="shared" si="100"/>
        <v/>
      </c>
      <c r="Q51" s="17" t="str">
        <f t="shared" si="100"/>
        <v/>
      </c>
      <c r="R51" s="17" t="str">
        <f t="shared" si="100"/>
        <v/>
      </c>
      <c r="S51" s="17" t="str">
        <f t="shared" si="100"/>
        <v/>
      </c>
      <c r="T51" s="17" t="str">
        <f t="shared" si="100"/>
        <v/>
      </c>
      <c r="U51" s="17" t="str">
        <f t="shared" si="100"/>
        <v/>
      </c>
      <c r="V51" s="17" t="str">
        <f t="shared" si="100"/>
        <v/>
      </c>
      <c r="W51" s="17" t="str">
        <f t="shared" si="100"/>
        <v/>
      </c>
      <c r="X51" s="17" t="str">
        <f t="shared" si="100"/>
        <v/>
      </c>
      <c r="Y51" s="17" t="str">
        <f t="shared" si="100"/>
        <v/>
      </c>
      <c r="Z51" s="17" t="str">
        <f t="shared" si="100"/>
        <v/>
      </c>
      <c r="AA51" s="17" t="str">
        <f t="shared" si="100"/>
        <v/>
      </c>
      <c r="AB51" s="17" t="str">
        <f t="shared" si="100"/>
        <v/>
      </c>
      <c r="AC51" s="17" t="str">
        <f t="shared" si="100"/>
        <v/>
      </c>
      <c r="AD51" s="17" t="str">
        <f t="shared" si="100"/>
        <v/>
      </c>
      <c r="AE51" s="17" t="str">
        <f t="shared" si="107"/>
        <v/>
      </c>
      <c r="AF51" s="17" t="str">
        <f t="shared" si="107"/>
        <v/>
      </c>
      <c r="AG51" s="17" t="str">
        <f t="shared" si="107"/>
        <v>x</v>
      </c>
      <c r="AH51" s="17" t="str">
        <f t="shared" si="107"/>
        <v>x</v>
      </c>
      <c r="AI51" s="17" t="str">
        <f t="shared" si="107"/>
        <v>x</v>
      </c>
      <c r="AJ51" s="17" t="str">
        <f t="shared" si="107"/>
        <v>x</v>
      </c>
      <c r="AK51" s="17" t="str">
        <f t="shared" si="107"/>
        <v/>
      </c>
      <c r="AL51" s="17" t="str">
        <f t="shared" si="107"/>
        <v/>
      </c>
      <c r="AM51" s="17" t="str">
        <f t="shared" si="107"/>
        <v/>
      </c>
      <c r="AN51" s="17" t="str">
        <f t="shared" si="107"/>
        <v/>
      </c>
      <c r="AO51" s="17" t="str">
        <f t="shared" si="107"/>
        <v/>
      </c>
      <c r="AP51" s="17" t="str">
        <f t="shared" si="107"/>
        <v/>
      </c>
      <c r="AQ51" s="17" t="str">
        <f t="shared" si="107"/>
        <v/>
      </c>
      <c r="AR51" s="17" t="str">
        <f t="shared" si="107"/>
        <v/>
      </c>
      <c r="AS51" s="17" t="str">
        <f t="shared" si="107"/>
        <v/>
      </c>
      <c r="AT51" s="17" t="str">
        <f t="shared" si="107"/>
        <v/>
      </c>
      <c r="AU51" s="17" t="str">
        <f t="shared" si="101"/>
        <v/>
      </c>
      <c r="AV51" s="17" t="str">
        <f t="shared" si="101"/>
        <v/>
      </c>
      <c r="AW51" s="17" t="str">
        <f t="shared" si="101"/>
        <v/>
      </c>
      <c r="AX51" s="17" t="str">
        <f t="shared" si="101"/>
        <v/>
      </c>
      <c r="AY51" s="17" t="str">
        <f t="shared" si="101"/>
        <v/>
      </c>
      <c r="AZ51" s="17" t="str">
        <f t="shared" si="101"/>
        <v/>
      </c>
      <c r="BA51" s="17" t="str">
        <f t="shared" si="101"/>
        <v/>
      </c>
      <c r="BB51" s="17" t="str">
        <f t="shared" si="101"/>
        <v/>
      </c>
      <c r="BC51" s="17" t="str">
        <f t="shared" si="101"/>
        <v/>
      </c>
      <c r="BD51" s="17" t="str">
        <f t="shared" si="101"/>
        <v/>
      </c>
      <c r="BE51" s="17" t="str">
        <f t="shared" si="101"/>
        <v/>
      </c>
      <c r="BF51" s="17" t="str">
        <f t="shared" si="101"/>
        <v/>
      </c>
      <c r="BG51" s="17" t="str">
        <f t="shared" si="101"/>
        <v/>
      </c>
      <c r="BH51" s="17" t="str">
        <f t="shared" si="101"/>
        <v/>
      </c>
      <c r="BI51" s="17" t="str">
        <f t="shared" si="101"/>
        <v/>
      </c>
      <c r="BJ51" s="17" t="str">
        <f t="shared" si="101"/>
        <v/>
      </c>
      <c r="BK51" s="17" t="str">
        <f t="shared" si="99"/>
        <v/>
      </c>
      <c r="BL51" s="17" t="str">
        <f t="shared" si="99"/>
        <v/>
      </c>
      <c r="BM51" s="17" t="str">
        <f t="shared" si="99"/>
        <v/>
      </c>
      <c r="BN51" s="17" t="str">
        <f t="shared" si="99"/>
        <v/>
      </c>
      <c r="BO51" s="17" t="str">
        <f t="shared" si="99"/>
        <v/>
      </c>
      <c r="BP51" s="17" t="str">
        <f t="shared" si="99"/>
        <v/>
      </c>
      <c r="BQ51" s="17" t="str">
        <f t="shared" si="99"/>
        <v/>
      </c>
      <c r="BR51" s="17" t="str">
        <f t="shared" si="99"/>
        <v/>
      </c>
      <c r="BS51" s="17" t="str">
        <f t="shared" si="99"/>
        <v/>
      </c>
      <c r="BT51" s="17" t="str">
        <f t="shared" si="99"/>
        <v/>
      </c>
      <c r="BU51" s="17" t="str">
        <f t="shared" si="99"/>
        <v/>
      </c>
      <c r="BV51" s="17" t="str">
        <f t="shared" si="99"/>
        <v/>
      </c>
      <c r="BW51" s="17" t="str">
        <f t="shared" si="99"/>
        <v/>
      </c>
      <c r="BX51" s="17" t="str">
        <f t="shared" si="106"/>
        <v/>
      </c>
      <c r="BY51" s="17" t="str">
        <f t="shared" si="106"/>
        <v/>
      </c>
      <c r="BZ51" s="17" t="str">
        <f t="shared" si="106"/>
        <v/>
      </c>
      <c r="CA51" s="17" t="str">
        <f t="shared" si="106"/>
        <v/>
      </c>
      <c r="CB51" s="17" t="str">
        <f t="shared" si="106"/>
        <v/>
      </c>
      <c r="CC51" s="17" t="str">
        <f t="shared" si="106"/>
        <v/>
      </c>
      <c r="CD51" s="17" t="str">
        <f t="shared" si="106"/>
        <v/>
      </c>
      <c r="CE51" s="17" t="str">
        <f t="shared" si="106"/>
        <v/>
      </c>
      <c r="CF51" s="17" t="str">
        <f t="shared" si="106"/>
        <v/>
      </c>
      <c r="CG51" s="17" t="str">
        <f t="shared" si="106"/>
        <v/>
      </c>
      <c r="CH51" s="17" t="str">
        <f t="shared" si="106"/>
        <v/>
      </c>
      <c r="CI51" s="17" t="str">
        <f t="shared" si="103"/>
        <v/>
      </c>
      <c r="CJ51" s="17" t="str">
        <f t="shared" si="103"/>
        <v/>
      </c>
      <c r="CK51" s="17" t="str">
        <f t="shared" si="103"/>
        <v/>
      </c>
      <c r="CL51" s="17" t="str">
        <f t="shared" si="103"/>
        <v/>
      </c>
      <c r="CM51" s="17" t="str">
        <f t="shared" si="103"/>
        <v/>
      </c>
      <c r="CN51" s="17" t="str">
        <f t="shared" si="103"/>
        <v/>
      </c>
      <c r="CO51" s="17" t="str">
        <f t="shared" si="103"/>
        <v/>
      </c>
      <c r="CP51" s="17" t="str">
        <f t="shared" si="103"/>
        <v/>
      </c>
      <c r="CQ51" s="17" t="str">
        <f t="shared" si="103"/>
        <v/>
      </c>
      <c r="CR51" s="17" t="str">
        <f t="shared" si="103"/>
        <v/>
      </c>
      <c r="CS51" s="17" t="str">
        <f t="shared" si="103"/>
        <v/>
      </c>
      <c r="CT51" s="17" t="str">
        <f t="shared" si="103"/>
        <v/>
      </c>
      <c r="CU51" s="17" t="str">
        <f t="shared" si="103"/>
        <v/>
      </c>
      <c r="CV51" s="17" t="str">
        <f t="shared" si="98"/>
        <v/>
      </c>
      <c r="CW51" s="17" t="str">
        <f t="shared" si="98"/>
        <v/>
      </c>
      <c r="CX51" s="17" t="str">
        <f t="shared" si="98"/>
        <v/>
      </c>
      <c r="CY51" s="17" t="str">
        <f t="shared" si="98"/>
        <v/>
      </c>
      <c r="CZ51" s="17" t="str">
        <f t="shared" si="98"/>
        <v/>
      </c>
      <c r="DA51" s="17" t="str">
        <f t="shared" si="98"/>
        <v/>
      </c>
      <c r="DB51" s="17" t="str">
        <f t="shared" si="98"/>
        <v/>
      </c>
      <c r="DC51" s="17" t="str">
        <f t="shared" si="98"/>
        <v/>
      </c>
      <c r="DE51" s="23">
        <f t="shared" si="90"/>
        <v>0</v>
      </c>
      <c r="DF51" s="23">
        <f t="shared" si="91"/>
        <v>0</v>
      </c>
    </row>
    <row r="52" spans="2:110" ht="15.75" x14ac:dyDescent="0.25">
      <c r="B52" s="28">
        <f t="shared" si="95"/>
        <v>44</v>
      </c>
      <c r="C52" s="55" t="s">
        <v>119</v>
      </c>
      <c r="D52" s="31">
        <v>1</v>
      </c>
      <c r="E52" s="32">
        <v>43</v>
      </c>
      <c r="F52" s="31" t="s">
        <v>71</v>
      </c>
      <c r="G52" s="33">
        <v>0</v>
      </c>
      <c r="H52" s="29">
        <f t="shared" si="73"/>
        <v>45984</v>
      </c>
      <c r="I52" s="29">
        <f t="shared" si="104"/>
        <v>45984</v>
      </c>
      <c r="J52" s="58" t="s">
        <v>127</v>
      </c>
      <c r="K52" s="31" t="s">
        <v>9</v>
      </c>
      <c r="L52" s="34"/>
      <c r="M52" s="30" t="str">
        <f t="shared" si="105"/>
        <v/>
      </c>
      <c r="O52" s="16" t="str">
        <f t="shared" si="100"/>
        <v/>
      </c>
      <c r="P52" s="17" t="str">
        <f t="shared" si="100"/>
        <v/>
      </c>
      <c r="Q52" s="17" t="str">
        <f t="shared" si="100"/>
        <v/>
      </c>
      <c r="R52" s="17" t="str">
        <f t="shared" si="100"/>
        <v/>
      </c>
      <c r="S52" s="17" t="str">
        <f t="shared" si="100"/>
        <v/>
      </c>
      <c r="T52" s="17" t="str">
        <f t="shared" si="100"/>
        <v/>
      </c>
      <c r="U52" s="17" t="str">
        <f t="shared" si="100"/>
        <v/>
      </c>
      <c r="V52" s="17" t="str">
        <f t="shared" si="100"/>
        <v/>
      </c>
      <c r="W52" s="17" t="str">
        <f t="shared" si="100"/>
        <v/>
      </c>
      <c r="X52" s="17" t="str">
        <f t="shared" si="100"/>
        <v/>
      </c>
      <c r="Y52" s="17" t="str">
        <f t="shared" si="100"/>
        <v/>
      </c>
      <c r="Z52" s="17" t="str">
        <f t="shared" si="100"/>
        <v/>
      </c>
      <c r="AA52" s="17" t="str">
        <f t="shared" si="100"/>
        <v/>
      </c>
      <c r="AB52" s="17" t="str">
        <f t="shared" si="100"/>
        <v/>
      </c>
      <c r="AC52" s="17" t="str">
        <f t="shared" si="100"/>
        <v/>
      </c>
      <c r="AD52" s="17" t="str">
        <f t="shared" si="100"/>
        <v/>
      </c>
      <c r="AE52" s="17" t="str">
        <f t="shared" si="107"/>
        <v/>
      </c>
      <c r="AF52" s="17" t="str">
        <f t="shared" si="107"/>
        <v/>
      </c>
      <c r="AG52" s="17" t="str">
        <f t="shared" si="107"/>
        <v>x</v>
      </c>
      <c r="AH52" s="17" t="str">
        <f t="shared" si="107"/>
        <v/>
      </c>
      <c r="AI52" s="17" t="str">
        <f t="shared" si="107"/>
        <v/>
      </c>
      <c r="AJ52" s="17" t="str">
        <f t="shared" si="107"/>
        <v/>
      </c>
      <c r="AK52" s="17" t="str">
        <f t="shared" si="107"/>
        <v/>
      </c>
      <c r="AL52" s="17" t="str">
        <f t="shared" si="107"/>
        <v/>
      </c>
      <c r="AM52" s="17" t="str">
        <f t="shared" si="107"/>
        <v/>
      </c>
      <c r="AN52" s="17" t="str">
        <f t="shared" si="107"/>
        <v/>
      </c>
      <c r="AO52" s="17" t="str">
        <f t="shared" si="107"/>
        <v/>
      </c>
      <c r="AP52" s="17" t="str">
        <f t="shared" si="107"/>
        <v/>
      </c>
      <c r="AQ52" s="17" t="str">
        <f t="shared" si="107"/>
        <v/>
      </c>
      <c r="AR52" s="17" t="str">
        <f t="shared" si="107"/>
        <v/>
      </c>
      <c r="AS52" s="17" t="str">
        <f t="shared" si="107"/>
        <v/>
      </c>
      <c r="AT52" s="17" t="str">
        <f t="shared" si="107"/>
        <v/>
      </c>
      <c r="AU52" s="17" t="str">
        <f t="shared" si="101"/>
        <v/>
      </c>
      <c r="AV52" s="17" t="str">
        <f t="shared" si="101"/>
        <v/>
      </c>
      <c r="AW52" s="17" t="str">
        <f t="shared" si="101"/>
        <v/>
      </c>
      <c r="AX52" s="17" t="str">
        <f t="shared" si="101"/>
        <v/>
      </c>
      <c r="AY52" s="17" t="str">
        <f t="shared" si="101"/>
        <v/>
      </c>
      <c r="AZ52" s="17" t="str">
        <f t="shared" si="101"/>
        <v/>
      </c>
      <c r="BA52" s="17" t="str">
        <f t="shared" si="101"/>
        <v/>
      </c>
      <c r="BB52" s="17" t="str">
        <f t="shared" si="101"/>
        <v/>
      </c>
      <c r="BC52" s="17" t="str">
        <f t="shared" si="101"/>
        <v/>
      </c>
      <c r="BD52" s="17" t="str">
        <f t="shared" si="101"/>
        <v/>
      </c>
      <c r="BE52" s="17" t="str">
        <f t="shared" si="101"/>
        <v/>
      </c>
      <c r="BF52" s="17" t="str">
        <f t="shared" si="101"/>
        <v/>
      </c>
      <c r="BG52" s="17" t="str">
        <f t="shared" si="101"/>
        <v/>
      </c>
      <c r="BH52" s="17" t="str">
        <f t="shared" si="101"/>
        <v/>
      </c>
      <c r="BI52" s="17" t="str">
        <f t="shared" si="101"/>
        <v/>
      </c>
      <c r="BJ52" s="17" t="str">
        <f t="shared" si="101"/>
        <v/>
      </c>
      <c r="BK52" s="17" t="str">
        <f t="shared" si="99"/>
        <v/>
      </c>
      <c r="BL52" s="17" t="str">
        <f t="shared" si="99"/>
        <v/>
      </c>
      <c r="BM52" s="17" t="str">
        <f t="shared" si="99"/>
        <v/>
      </c>
      <c r="BN52" s="17" t="str">
        <f t="shared" si="99"/>
        <v/>
      </c>
      <c r="BO52" s="17" t="str">
        <f t="shared" si="99"/>
        <v/>
      </c>
      <c r="BP52" s="17" t="str">
        <f t="shared" si="99"/>
        <v/>
      </c>
      <c r="BQ52" s="17" t="str">
        <f t="shared" si="99"/>
        <v/>
      </c>
      <c r="BR52" s="17" t="str">
        <f t="shared" si="99"/>
        <v/>
      </c>
      <c r="BS52" s="17" t="str">
        <f t="shared" si="99"/>
        <v/>
      </c>
      <c r="BT52" s="17" t="str">
        <f t="shared" si="99"/>
        <v/>
      </c>
      <c r="BU52" s="17" t="str">
        <f t="shared" si="99"/>
        <v/>
      </c>
      <c r="BV52" s="17" t="str">
        <f t="shared" si="99"/>
        <v/>
      </c>
      <c r="BW52" s="17" t="str">
        <f t="shared" si="99"/>
        <v/>
      </c>
      <c r="BX52" s="17" t="str">
        <f t="shared" si="106"/>
        <v/>
      </c>
      <c r="BY52" s="17" t="str">
        <f t="shared" si="106"/>
        <v/>
      </c>
      <c r="BZ52" s="17" t="str">
        <f t="shared" si="106"/>
        <v/>
      </c>
      <c r="CA52" s="17" t="str">
        <f t="shared" si="106"/>
        <v/>
      </c>
      <c r="CB52" s="17" t="str">
        <f t="shared" si="106"/>
        <v/>
      </c>
      <c r="CC52" s="17" t="str">
        <f t="shared" si="106"/>
        <v/>
      </c>
      <c r="CD52" s="17" t="str">
        <f t="shared" si="106"/>
        <v/>
      </c>
      <c r="CE52" s="17" t="str">
        <f t="shared" si="106"/>
        <v/>
      </c>
      <c r="CF52" s="17" t="str">
        <f t="shared" si="106"/>
        <v/>
      </c>
      <c r="CG52" s="17" t="str">
        <f t="shared" si="106"/>
        <v/>
      </c>
      <c r="CH52" s="17" t="str">
        <f t="shared" si="106"/>
        <v/>
      </c>
      <c r="CI52" s="17" t="str">
        <f t="shared" si="103"/>
        <v/>
      </c>
      <c r="CJ52" s="17" t="str">
        <f t="shared" si="103"/>
        <v/>
      </c>
      <c r="CK52" s="17" t="str">
        <f t="shared" si="103"/>
        <v/>
      </c>
      <c r="CL52" s="17" t="str">
        <f t="shared" si="103"/>
        <v/>
      </c>
      <c r="CM52" s="17" t="str">
        <f t="shared" si="103"/>
        <v/>
      </c>
      <c r="CN52" s="17" t="str">
        <f t="shared" si="103"/>
        <v/>
      </c>
      <c r="CO52" s="17" t="str">
        <f t="shared" si="103"/>
        <v/>
      </c>
      <c r="CP52" s="17" t="str">
        <f t="shared" si="103"/>
        <v/>
      </c>
      <c r="CQ52" s="17" t="str">
        <f t="shared" si="103"/>
        <v/>
      </c>
      <c r="CR52" s="17" t="str">
        <f t="shared" si="103"/>
        <v/>
      </c>
      <c r="CS52" s="17" t="str">
        <f t="shared" si="103"/>
        <v/>
      </c>
      <c r="CT52" s="17" t="str">
        <f t="shared" si="103"/>
        <v/>
      </c>
      <c r="CU52" s="17" t="str">
        <f t="shared" si="103"/>
        <v/>
      </c>
      <c r="CV52" s="17" t="str">
        <f t="shared" si="98"/>
        <v/>
      </c>
      <c r="CW52" s="17" t="str">
        <f t="shared" si="98"/>
        <v/>
      </c>
      <c r="CX52" s="17" t="str">
        <f t="shared" si="98"/>
        <v/>
      </c>
      <c r="CY52" s="17" t="str">
        <f t="shared" si="98"/>
        <v/>
      </c>
      <c r="CZ52" s="17" t="str">
        <f t="shared" si="98"/>
        <v/>
      </c>
      <c r="DA52" s="17" t="str">
        <f t="shared" si="98"/>
        <v/>
      </c>
      <c r="DB52" s="17" t="str">
        <f t="shared" si="98"/>
        <v/>
      </c>
      <c r="DC52" s="17" t="str">
        <f t="shared" si="98"/>
        <v/>
      </c>
      <c r="DE52" s="23">
        <f t="shared" si="90"/>
        <v>0</v>
      </c>
      <c r="DF52" s="23">
        <f t="shared" si="91"/>
        <v>0</v>
      </c>
    </row>
    <row r="53" spans="2:110" ht="15.75" x14ac:dyDescent="0.25">
      <c r="B53" s="28">
        <f t="shared" si="95"/>
        <v>45</v>
      </c>
      <c r="C53" s="55" t="s">
        <v>120</v>
      </c>
      <c r="D53" s="31">
        <v>1</v>
      </c>
      <c r="E53" s="32">
        <v>44</v>
      </c>
      <c r="F53" s="31" t="s">
        <v>60</v>
      </c>
      <c r="G53" s="33">
        <v>0</v>
      </c>
      <c r="H53" s="29">
        <f t="shared" si="73"/>
        <v>45984</v>
      </c>
      <c r="I53" s="29">
        <f t="shared" si="104"/>
        <v>45984</v>
      </c>
      <c r="J53" s="58" t="s">
        <v>127</v>
      </c>
      <c r="K53" s="31" t="s">
        <v>9</v>
      </c>
      <c r="L53" s="34"/>
      <c r="M53" s="30" t="str">
        <f t="shared" si="105"/>
        <v/>
      </c>
      <c r="O53" s="16" t="str">
        <f t="shared" si="100"/>
        <v/>
      </c>
      <c r="P53" s="17" t="str">
        <f t="shared" si="100"/>
        <v/>
      </c>
      <c r="Q53" s="17" t="str">
        <f t="shared" si="100"/>
        <v/>
      </c>
      <c r="R53" s="17" t="str">
        <f t="shared" si="100"/>
        <v/>
      </c>
      <c r="S53" s="17" t="str">
        <f t="shared" si="100"/>
        <v/>
      </c>
      <c r="T53" s="17" t="str">
        <f t="shared" si="100"/>
        <v/>
      </c>
      <c r="U53" s="17" t="str">
        <f t="shared" si="100"/>
        <v/>
      </c>
      <c r="V53" s="17" t="str">
        <f t="shared" si="100"/>
        <v/>
      </c>
      <c r="W53" s="17" t="str">
        <f t="shared" si="100"/>
        <v/>
      </c>
      <c r="X53" s="17" t="str">
        <f t="shared" si="100"/>
        <v/>
      </c>
      <c r="Y53" s="17" t="str">
        <f t="shared" si="100"/>
        <v/>
      </c>
      <c r="Z53" s="17" t="str">
        <f t="shared" si="100"/>
        <v/>
      </c>
      <c r="AA53" s="17" t="str">
        <f t="shared" si="100"/>
        <v/>
      </c>
      <c r="AB53" s="17" t="str">
        <f t="shared" si="100"/>
        <v/>
      </c>
      <c r="AC53" s="17" t="str">
        <f t="shared" si="100"/>
        <v/>
      </c>
      <c r="AD53" s="17" t="str">
        <f t="shared" si="100"/>
        <v/>
      </c>
      <c r="AE53" s="17" t="str">
        <f t="shared" si="107"/>
        <v/>
      </c>
      <c r="AF53" s="17" t="str">
        <f t="shared" si="107"/>
        <v/>
      </c>
      <c r="AG53" s="17" t="str">
        <f t="shared" si="107"/>
        <v>x</v>
      </c>
      <c r="AH53" s="17" t="str">
        <f t="shared" si="107"/>
        <v/>
      </c>
      <c r="AI53" s="17" t="str">
        <f t="shared" si="107"/>
        <v/>
      </c>
      <c r="AJ53" s="17" t="str">
        <f t="shared" si="107"/>
        <v/>
      </c>
      <c r="AK53" s="17" t="str">
        <f t="shared" si="107"/>
        <v/>
      </c>
      <c r="AL53" s="17" t="str">
        <f t="shared" si="107"/>
        <v/>
      </c>
      <c r="AM53" s="17" t="str">
        <f t="shared" si="107"/>
        <v/>
      </c>
      <c r="AN53" s="17" t="str">
        <f t="shared" si="107"/>
        <v/>
      </c>
      <c r="AO53" s="17" t="str">
        <f t="shared" si="107"/>
        <v/>
      </c>
      <c r="AP53" s="17" t="str">
        <f t="shared" si="107"/>
        <v/>
      </c>
      <c r="AQ53" s="17" t="str">
        <f t="shared" si="107"/>
        <v/>
      </c>
      <c r="AR53" s="17" t="str">
        <f t="shared" si="107"/>
        <v/>
      </c>
      <c r="AS53" s="17" t="str">
        <f t="shared" si="107"/>
        <v/>
      </c>
      <c r="AT53" s="17" t="str">
        <f t="shared" si="107"/>
        <v/>
      </c>
      <c r="AU53" s="17" t="str">
        <f t="shared" si="101"/>
        <v/>
      </c>
      <c r="AV53" s="17" t="str">
        <f t="shared" si="101"/>
        <v/>
      </c>
      <c r="AW53" s="17" t="str">
        <f t="shared" si="101"/>
        <v/>
      </c>
      <c r="AX53" s="17" t="str">
        <f t="shared" si="101"/>
        <v/>
      </c>
      <c r="AY53" s="17" t="str">
        <f t="shared" si="101"/>
        <v/>
      </c>
      <c r="AZ53" s="17" t="str">
        <f t="shared" si="101"/>
        <v/>
      </c>
      <c r="BA53" s="17" t="str">
        <f t="shared" si="101"/>
        <v/>
      </c>
      <c r="BB53" s="17" t="str">
        <f t="shared" si="101"/>
        <v/>
      </c>
      <c r="BC53" s="17" t="str">
        <f t="shared" si="101"/>
        <v/>
      </c>
      <c r="BD53" s="17" t="str">
        <f t="shared" si="101"/>
        <v/>
      </c>
      <c r="BE53" s="17" t="str">
        <f t="shared" si="101"/>
        <v/>
      </c>
      <c r="BF53" s="17" t="str">
        <f t="shared" si="101"/>
        <v/>
      </c>
      <c r="BG53" s="17" t="str">
        <f t="shared" si="101"/>
        <v/>
      </c>
      <c r="BH53" s="17" t="str">
        <f t="shared" si="101"/>
        <v/>
      </c>
      <c r="BI53" s="17" t="str">
        <f t="shared" si="101"/>
        <v/>
      </c>
      <c r="BJ53" s="17" t="str">
        <f t="shared" si="101"/>
        <v/>
      </c>
      <c r="BK53" s="17" t="str">
        <f t="shared" si="99"/>
        <v/>
      </c>
      <c r="BL53" s="17" t="str">
        <f t="shared" si="99"/>
        <v/>
      </c>
      <c r="BM53" s="17" t="str">
        <f t="shared" si="99"/>
        <v/>
      </c>
      <c r="BN53" s="17" t="str">
        <f t="shared" si="99"/>
        <v/>
      </c>
      <c r="BO53" s="17" t="str">
        <f t="shared" si="99"/>
        <v/>
      </c>
      <c r="BP53" s="17" t="str">
        <f t="shared" si="99"/>
        <v/>
      </c>
      <c r="BQ53" s="17" t="str">
        <f t="shared" si="99"/>
        <v/>
      </c>
      <c r="BR53" s="17" t="str">
        <f t="shared" si="99"/>
        <v/>
      </c>
      <c r="BS53" s="17" t="str">
        <f t="shared" si="99"/>
        <v/>
      </c>
      <c r="BT53" s="17" t="str">
        <f t="shared" si="99"/>
        <v/>
      </c>
      <c r="BU53" s="17" t="str">
        <f t="shared" si="99"/>
        <v/>
      </c>
      <c r="BV53" s="17" t="str">
        <f t="shared" si="99"/>
        <v/>
      </c>
      <c r="BW53" s="17" t="str">
        <f t="shared" si="99"/>
        <v/>
      </c>
      <c r="BX53" s="17" t="str">
        <f t="shared" si="106"/>
        <v/>
      </c>
      <c r="BY53" s="17" t="str">
        <f t="shared" si="106"/>
        <v/>
      </c>
      <c r="BZ53" s="17" t="str">
        <f t="shared" si="106"/>
        <v/>
      </c>
      <c r="CA53" s="17" t="str">
        <f t="shared" si="106"/>
        <v/>
      </c>
      <c r="CB53" s="17" t="str">
        <f t="shared" si="106"/>
        <v/>
      </c>
      <c r="CC53" s="17" t="str">
        <f t="shared" si="106"/>
        <v/>
      </c>
      <c r="CD53" s="17" t="str">
        <f t="shared" si="106"/>
        <v/>
      </c>
      <c r="CE53" s="17" t="str">
        <f t="shared" si="106"/>
        <v/>
      </c>
      <c r="CF53" s="17" t="str">
        <f t="shared" si="106"/>
        <v/>
      </c>
      <c r="CG53" s="17" t="str">
        <f t="shared" si="106"/>
        <v/>
      </c>
      <c r="CH53" s="17" t="str">
        <f t="shared" si="106"/>
        <v/>
      </c>
      <c r="CI53" s="17" t="str">
        <f t="shared" si="103"/>
        <v/>
      </c>
      <c r="CJ53" s="17" t="str">
        <f t="shared" si="103"/>
        <v/>
      </c>
      <c r="CK53" s="17" t="str">
        <f t="shared" si="103"/>
        <v/>
      </c>
      <c r="CL53" s="17" t="str">
        <f t="shared" si="103"/>
        <v/>
      </c>
      <c r="CM53" s="17" t="str">
        <f t="shared" si="103"/>
        <v/>
      </c>
      <c r="CN53" s="17" t="str">
        <f t="shared" si="103"/>
        <v/>
      </c>
      <c r="CO53" s="17" t="str">
        <f t="shared" si="103"/>
        <v/>
      </c>
      <c r="CP53" s="17" t="str">
        <f t="shared" si="103"/>
        <v/>
      </c>
      <c r="CQ53" s="17" t="str">
        <f t="shared" si="103"/>
        <v/>
      </c>
      <c r="CR53" s="17" t="str">
        <f t="shared" si="103"/>
        <v/>
      </c>
      <c r="CS53" s="17" t="str">
        <f t="shared" si="103"/>
        <v/>
      </c>
      <c r="CT53" s="17" t="str">
        <f t="shared" si="103"/>
        <v/>
      </c>
      <c r="CU53" s="17" t="str">
        <f t="shared" si="103"/>
        <v/>
      </c>
      <c r="CV53" s="17" t="str">
        <f t="shared" si="98"/>
        <v/>
      </c>
      <c r="CW53" s="17" t="str">
        <f t="shared" si="98"/>
        <v/>
      </c>
      <c r="CX53" s="17" t="str">
        <f t="shared" si="98"/>
        <v/>
      </c>
      <c r="CY53" s="17" t="str">
        <f t="shared" si="98"/>
        <v/>
      </c>
      <c r="CZ53" s="17" t="str">
        <f t="shared" si="98"/>
        <v/>
      </c>
      <c r="DA53" s="17" t="str">
        <f t="shared" si="98"/>
        <v/>
      </c>
      <c r="DB53" s="17" t="str">
        <f t="shared" si="98"/>
        <v/>
      </c>
      <c r="DC53" s="17" t="str">
        <f t="shared" si="98"/>
        <v/>
      </c>
      <c r="DE53" s="23">
        <f t="shared" si="90"/>
        <v>0</v>
      </c>
      <c r="DF53" s="23">
        <f t="shared" si="91"/>
        <v>0</v>
      </c>
    </row>
    <row r="54" spans="2:110" ht="15.75" x14ac:dyDescent="0.25">
      <c r="B54" s="28">
        <f t="shared" si="95"/>
        <v>46</v>
      </c>
      <c r="C54" s="55" t="s">
        <v>121</v>
      </c>
      <c r="D54" s="31">
        <v>3</v>
      </c>
      <c r="E54" s="32">
        <v>45</v>
      </c>
      <c r="F54" s="31" t="s">
        <v>60</v>
      </c>
      <c r="G54" s="33">
        <v>1</v>
      </c>
      <c r="H54" s="29">
        <f t="shared" si="73"/>
        <v>45985</v>
      </c>
      <c r="I54" s="29">
        <f t="shared" si="104"/>
        <v>45987</v>
      </c>
      <c r="J54" s="58" t="s">
        <v>127</v>
      </c>
      <c r="K54" s="31" t="s">
        <v>9</v>
      </c>
      <c r="L54" s="34"/>
      <c r="M54" s="30" t="str">
        <f t="shared" si="105"/>
        <v/>
      </c>
      <c r="O54" s="16" t="str">
        <f t="shared" si="100"/>
        <v/>
      </c>
      <c r="P54" s="17" t="str">
        <f t="shared" si="100"/>
        <v/>
      </c>
      <c r="Q54" s="17" t="str">
        <f t="shared" si="100"/>
        <v/>
      </c>
      <c r="R54" s="17" t="str">
        <f t="shared" si="100"/>
        <v/>
      </c>
      <c r="S54" s="17" t="str">
        <f t="shared" si="100"/>
        <v/>
      </c>
      <c r="T54" s="17" t="str">
        <f t="shared" si="100"/>
        <v/>
      </c>
      <c r="U54" s="17" t="str">
        <f t="shared" si="100"/>
        <v/>
      </c>
      <c r="V54" s="17" t="str">
        <f t="shared" si="100"/>
        <v/>
      </c>
      <c r="W54" s="17" t="str">
        <f t="shared" si="100"/>
        <v/>
      </c>
      <c r="X54" s="17" t="str">
        <f t="shared" si="100"/>
        <v/>
      </c>
      <c r="Y54" s="17" t="str">
        <f t="shared" si="100"/>
        <v/>
      </c>
      <c r="Z54" s="17" t="str">
        <f t="shared" si="100"/>
        <v/>
      </c>
      <c r="AA54" s="17" t="str">
        <f t="shared" si="100"/>
        <v/>
      </c>
      <c r="AB54" s="17" t="str">
        <f t="shared" si="100"/>
        <v/>
      </c>
      <c r="AC54" s="17" t="str">
        <f t="shared" si="100"/>
        <v/>
      </c>
      <c r="AD54" s="17" t="str">
        <f t="shared" si="100"/>
        <v/>
      </c>
      <c r="AE54" s="17" t="str">
        <f t="shared" si="107"/>
        <v/>
      </c>
      <c r="AF54" s="17" t="str">
        <f t="shared" si="107"/>
        <v/>
      </c>
      <c r="AG54" s="17" t="str">
        <f t="shared" si="107"/>
        <v/>
      </c>
      <c r="AH54" s="17" t="str">
        <f t="shared" si="107"/>
        <v>x</v>
      </c>
      <c r="AI54" s="17" t="str">
        <f t="shared" si="107"/>
        <v>x</v>
      </c>
      <c r="AJ54" s="17" t="str">
        <f t="shared" si="107"/>
        <v>x</v>
      </c>
      <c r="AK54" s="17" t="str">
        <f t="shared" si="107"/>
        <v/>
      </c>
      <c r="AL54" s="17" t="str">
        <f t="shared" si="107"/>
        <v/>
      </c>
      <c r="AM54" s="17" t="str">
        <f t="shared" si="107"/>
        <v/>
      </c>
      <c r="AN54" s="17" t="str">
        <f t="shared" si="107"/>
        <v/>
      </c>
      <c r="AO54" s="17" t="str">
        <f t="shared" si="107"/>
        <v/>
      </c>
      <c r="AP54" s="17" t="str">
        <f t="shared" si="107"/>
        <v/>
      </c>
      <c r="AQ54" s="17" t="str">
        <f t="shared" si="107"/>
        <v/>
      </c>
      <c r="AR54" s="17" t="str">
        <f t="shared" si="107"/>
        <v/>
      </c>
      <c r="AS54" s="17" t="str">
        <f t="shared" si="107"/>
        <v/>
      </c>
      <c r="AT54" s="17" t="str">
        <f t="shared" si="107"/>
        <v/>
      </c>
      <c r="AU54" s="17" t="str">
        <f t="shared" si="101"/>
        <v/>
      </c>
      <c r="AV54" s="17" t="str">
        <f t="shared" si="101"/>
        <v/>
      </c>
      <c r="AW54" s="17" t="str">
        <f t="shared" si="101"/>
        <v/>
      </c>
      <c r="AX54" s="17" t="str">
        <f t="shared" si="101"/>
        <v/>
      </c>
      <c r="AY54" s="17" t="str">
        <f t="shared" si="101"/>
        <v/>
      </c>
      <c r="AZ54" s="17" t="str">
        <f t="shared" si="101"/>
        <v/>
      </c>
      <c r="BA54" s="17" t="str">
        <f t="shared" si="101"/>
        <v/>
      </c>
      <c r="BB54" s="17" t="str">
        <f t="shared" si="101"/>
        <v/>
      </c>
      <c r="BC54" s="17" t="str">
        <f t="shared" si="101"/>
        <v/>
      </c>
      <c r="BD54" s="17" t="str">
        <f t="shared" si="101"/>
        <v/>
      </c>
      <c r="BE54" s="17" t="str">
        <f t="shared" si="101"/>
        <v/>
      </c>
      <c r="BF54" s="17" t="str">
        <f t="shared" si="101"/>
        <v/>
      </c>
      <c r="BG54" s="17" t="str">
        <f t="shared" si="101"/>
        <v/>
      </c>
      <c r="BH54" s="17" t="str">
        <f t="shared" si="101"/>
        <v/>
      </c>
      <c r="BI54" s="17" t="str">
        <f t="shared" si="101"/>
        <v/>
      </c>
      <c r="BJ54" s="17" t="str">
        <f t="shared" si="101"/>
        <v/>
      </c>
      <c r="BK54" s="17" t="str">
        <f t="shared" si="99"/>
        <v/>
      </c>
      <c r="BL54" s="17" t="str">
        <f t="shared" si="99"/>
        <v/>
      </c>
      <c r="BM54" s="17" t="str">
        <f t="shared" si="99"/>
        <v/>
      </c>
      <c r="BN54" s="17" t="str">
        <f t="shared" si="99"/>
        <v/>
      </c>
      <c r="BO54" s="17" t="str">
        <f t="shared" si="99"/>
        <v/>
      </c>
      <c r="BP54" s="17" t="str">
        <f t="shared" si="99"/>
        <v/>
      </c>
      <c r="BQ54" s="17" t="str">
        <f t="shared" si="99"/>
        <v/>
      </c>
      <c r="BR54" s="17" t="str">
        <f t="shared" si="99"/>
        <v/>
      </c>
      <c r="BS54" s="17" t="str">
        <f t="shared" si="99"/>
        <v/>
      </c>
      <c r="BT54" s="17" t="str">
        <f t="shared" si="99"/>
        <v/>
      </c>
      <c r="BU54" s="17" t="str">
        <f t="shared" si="99"/>
        <v/>
      </c>
      <c r="BV54" s="17" t="str">
        <f t="shared" si="99"/>
        <v/>
      </c>
      <c r="BW54" s="17" t="str">
        <f t="shared" si="99"/>
        <v/>
      </c>
      <c r="BX54" s="17" t="str">
        <f t="shared" si="106"/>
        <v/>
      </c>
      <c r="BY54" s="17" t="str">
        <f t="shared" si="106"/>
        <v/>
      </c>
      <c r="BZ54" s="17" t="str">
        <f t="shared" si="106"/>
        <v/>
      </c>
      <c r="CA54" s="17" t="str">
        <f t="shared" si="106"/>
        <v/>
      </c>
      <c r="CB54" s="17" t="str">
        <f t="shared" si="106"/>
        <v/>
      </c>
      <c r="CC54" s="17" t="str">
        <f t="shared" si="106"/>
        <v/>
      </c>
      <c r="CD54" s="17" t="str">
        <f t="shared" si="106"/>
        <v/>
      </c>
      <c r="CE54" s="17" t="str">
        <f t="shared" si="106"/>
        <v/>
      </c>
      <c r="CF54" s="17" t="str">
        <f t="shared" si="106"/>
        <v/>
      </c>
      <c r="CG54" s="17" t="str">
        <f t="shared" si="106"/>
        <v/>
      </c>
      <c r="CH54" s="17" t="str">
        <f t="shared" si="106"/>
        <v/>
      </c>
      <c r="CI54" s="17" t="str">
        <f t="shared" si="103"/>
        <v/>
      </c>
      <c r="CJ54" s="17" t="str">
        <f t="shared" si="103"/>
        <v/>
      </c>
      <c r="CK54" s="17" t="str">
        <f t="shared" si="103"/>
        <v/>
      </c>
      <c r="CL54" s="17" t="str">
        <f t="shared" si="103"/>
        <v/>
      </c>
      <c r="CM54" s="17" t="str">
        <f t="shared" si="103"/>
        <v/>
      </c>
      <c r="CN54" s="17" t="str">
        <f t="shared" si="103"/>
        <v/>
      </c>
      <c r="CO54" s="17" t="str">
        <f t="shared" si="103"/>
        <v/>
      </c>
      <c r="CP54" s="17" t="str">
        <f t="shared" si="103"/>
        <v/>
      </c>
      <c r="CQ54" s="17" t="str">
        <f t="shared" si="103"/>
        <v/>
      </c>
      <c r="CR54" s="17" t="str">
        <f t="shared" si="103"/>
        <v/>
      </c>
      <c r="CS54" s="17" t="str">
        <f t="shared" si="103"/>
        <v/>
      </c>
      <c r="CT54" s="17" t="str">
        <f t="shared" si="103"/>
        <v/>
      </c>
      <c r="CU54" s="17" t="str">
        <f t="shared" si="103"/>
        <v/>
      </c>
      <c r="CV54" s="17" t="str">
        <f t="shared" si="98"/>
        <v/>
      </c>
      <c r="CW54" s="17" t="str">
        <f t="shared" si="98"/>
        <v/>
      </c>
      <c r="CX54" s="17" t="str">
        <f t="shared" si="98"/>
        <v/>
      </c>
      <c r="CY54" s="17" t="str">
        <f t="shared" si="98"/>
        <v/>
      </c>
      <c r="CZ54" s="17" t="str">
        <f t="shared" si="98"/>
        <v/>
      </c>
      <c r="DA54" s="17" t="str">
        <f t="shared" si="98"/>
        <v/>
      </c>
      <c r="DB54" s="17" t="str">
        <f t="shared" si="98"/>
        <v/>
      </c>
      <c r="DC54" s="17" t="str">
        <f t="shared" si="98"/>
        <v/>
      </c>
      <c r="DE54" s="23">
        <f t="shared" si="90"/>
        <v>0</v>
      </c>
      <c r="DF54" s="23">
        <f t="shared" si="91"/>
        <v>0</v>
      </c>
    </row>
    <row r="55" spans="2:110" ht="15.75" x14ac:dyDescent="0.25">
      <c r="B55" s="28">
        <f t="shared" si="95"/>
        <v>47</v>
      </c>
      <c r="C55" s="56" t="s">
        <v>75</v>
      </c>
      <c r="D55" s="31">
        <v>3</v>
      </c>
      <c r="E55" s="32">
        <v>43</v>
      </c>
      <c r="F55" s="31" t="s">
        <v>60</v>
      </c>
      <c r="G55" s="33">
        <v>1</v>
      </c>
      <c r="H55" s="29">
        <f t="shared" si="73"/>
        <v>45988</v>
      </c>
      <c r="I55" s="29">
        <f t="shared" si="104"/>
        <v>45990</v>
      </c>
      <c r="J55" s="58" t="s">
        <v>127</v>
      </c>
      <c r="K55" s="31" t="s">
        <v>9</v>
      </c>
      <c r="L55" s="34"/>
      <c r="M55" s="30" t="str">
        <f t="shared" si="105"/>
        <v/>
      </c>
      <c r="O55" s="16" t="str">
        <f t="shared" si="100"/>
        <v/>
      </c>
      <c r="P55" s="17" t="str">
        <f t="shared" si="100"/>
        <v/>
      </c>
      <c r="Q55" s="17" t="str">
        <f t="shared" si="100"/>
        <v/>
      </c>
      <c r="R55" s="17" t="str">
        <f t="shared" si="100"/>
        <v/>
      </c>
      <c r="S55" s="17" t="str">
        <f t="shared" si="100"/>
        <v/>
      </c>
      <c r="T55" s="17" t="str">
        <f t="shared" si="100"/>
        <v/>
      </c>
      <c r="U55" s="17" t="str">
        <f t="shared" si="100"/>
        <v/>
      </c>
      <c r="V55" s="17" t="str">
        <f t="shared" si="100"/>
        <v/>
      </c>
      <c r="W55" s="17" t="str">
        <f t="shared" si="100"/>
        <v/>
      </c>
      <c r="X55" s="17" t="str">
        <f t="shared" si="100"/>
        <v/>
      </c>
      <c r="Y55" s="17" t="str">
        <f t="shared" si="100"/>
        <v/>
      </c>
      <c r="Z55" s="17" t="str">
        <f t="shared" si="100"/>
        <v/>
      </c>
      <c r="AA55" s="17" t="str">
        <f t="shared" si="100"/>
        <v/>
      </c>
      <c r="AB55" s="17" t="str">
        <f t="shared" si="100"/>
        <v/>
      </c>
      <c r="AC55" s="17" t="str">
        <f t="shared" si="100"/>
        <v/>
      </c>
      <c r="AD55" s="17" t="str">
        <f t="shared" si="100"/>
        <v/>
      </c>
      <c r="AE55" s="17" t="str">
        <f t="shared" si="107"/>
        <v/>
      </c>
      <c r="AF55" s="17" t="str">
        <f t="shared" si="107"/>
        <v/>
      </c>
      <c r="AG55" s="17" t="str">
        <f t="shared" si="107"/>
        <v/>
      </c>
      <c r="AH55" s="17" t="str">
        <f t="shared" si="107"/>
        <v/>
      </c>
      <c r="AI55" s="17" t="str">
        <f t="shared" si="107"/>
        <v/>
      </c>
      <c r="AJ55" s="17" t="str">
        <f t="shared" si="107"/>
        <v/>
      </c>
      <c r="AK55" s="17" t="str">
        <f t="shared" si="107"/>
        <v>x</v>
      </c>
      <c r="AL55" s="17" t="str">
        <f t="shared" si="107"/>
        <v>x</v>
      </c>
      <c r="AM55" s="17" t="str">
        <f t="shared" si="107"/>
        <v>x</v>
      </c>
      <c r="AN55" s="17" t="str">
        <f t="shared" si="107"/>
        <v/>
      </c>
      <c r="AO55" s="17" t="str">
        <f t="shared" si="107"/>
        <v/>
      </c>
      <c r="AP55" s="17" t="str">
        <f t="shared" si="107"/>
        <v/>
      </c>
      <c r="AQ55" s="17" t="str">
        <f t="shared" si="107"/>
        <v/>
      </c>
      <c r="AR55" s="17" t="str">
        <f t="shared" si="107"/>
        <v/>
      </c>
      <c r="AS55" s="17" t="str">
        <f t="shared" si="107"/>
        <v/>
      </c>
      <c r="AT55" s="17" t="str">
        <f t="shared" si="107"/>
        <v/>
      </c>
      <c r="AU55" s="17" t="str">
        <f t="shared" si="101"/>
        <v/>
      </c>
      <c r="AV55" s="17" t="str">
        <f t="shared" si="101"/>
        <v/>
      </c>
      <c r="AW55" s="17" t="str">
        <f t="shared" si="101"/>
        <v/>
      </c>
      <c r="AX55" s="17" t="str">
        <f t="shared" si="101"/>
        <v/>
      </c>
      <c r="AY55" s="17" t="str">
        <f t="shared" si="101"/>
        <v/>
      </c>
      <c r="AZ55" s="17" t="str">
        <f t="shared" si="101"/>
        <v/>
      </c>
      <c r="BA55" s="17" t="str">
        <f t="shared" si="101"/>
        <v/>
      </c>
      <c r="BB55" s="17" t="str">
        <f t="shared" si="101"/>
        <v/>
      </c>
      <c r="BC55" s="17" t="str">
        <f t="shared" si="101"/>
        <v/>
      </c>
      <c r="BD55" s="17" t="str">
        <f t="shared" si="101"/>
        <v/>
      </c>
      <c r="BE55" s="17" t="str">
        <f t="shared" si="101"/>
        <v/>
      </c>
      <c r="BF55" s="17" t="str">
        <f t="shared" si="101"/>
        <v/>
      </c>
      <c r="BG55" s="17" t="str">
        <f t="shared" si="101"/>
        <v/>
      </c>
      <c r="BH55" s="17" t="str">
        <f t="shared" si="101"/>
        <v/>
      </c>
      <c r="BI55" s="17" t="str">
        <f t="shared" si="101"/>
        <v/>
      </c>
      <c r="BJ55" s="17" t="str">
        <f t="shared" si="101"/>
        <v/>
      </c>
      <c r="BK55" s="17" t="str">
        <f t="shared" si="99"/>
        <v/>
      </c>
      <c r="BL55" s="17" t="str">
        <f t="shared" si="99"/>
        <v/>
      </c>
      <c r="BM55" s="17" t="str">
        <f t="shared" si="99"/>
        <v/>
      </c>
      <c r="BN55" s="17" t="str">
        <f t="shared" si="99"/>
        <v/>
      </c>
      <c r="BO55" s="17" t="str">
        <f t="shared" si="99"/>
        <v/>
      </c>
      <c r="BP55" s="17" t="str">
        <f t="shared" si="99"/>
        <v/>
      </c>
      <c r="BQ55" s="17" t="str">
        <f t="shared" si="99"/>
        <v/>
      </c>
      <c r="BR55" s="17" t="str">
        <f t="shared" si="99"/>
        <v/>
      </c>
      <c r="BS55" s="17" t="str">
        <f t="shared" si="99"/>
        <v/>
      </c>
      <c r="BT55" s="17" t="str">
        <f t="shared" si="99"/>
        <v/>
      </c>
      <c r="BU55" s="17" t="str">
        <f t="shared" si="99"/>
        <v/>
      </c>
      <c r="BV55" s="17" t="str">
        <f t="shared" si="99"/>
        <v/>
      </c>
      <c r="BW55" s="17" t="str">
        <f t="shared" si="99"/>
        <v/>
      </c>
      <c r="BX55" s="17" t="str">
        <f t="shared" si="106"/>
        <v/>
      </c>
      <c r="BY55" s="17" t="str">
        <f t="shared" si="106"/>
        <v/>
      </c>
      <c r="BZ55" s="17" t="str">
        <f t="shared" si="106"/>
        <v/>
      </c>
      <c r="CA55" s="17" t="str">
        <f t="shared" si="106"/>
        <v/>
      </c>
      <c r="CB55" s="17" t="str">
        <f t="shared" si="106"/>
        <v/>
      </c>
      <c r="CC55" s="17" t="str">
        <f t="shared" si="106"/>
        <v/>
      </c>
      <c r="CD55" s="17" t="str">
        <f t="shared" si="106"/>
        <v/>
      </c>
      <c r="CE55" s="17" t="str">
        <f t="shared" si="106"/>
        <v/>
      </c>
      <c r="CF55" s="17" t="str">
        <f t="shared" si="106"/>
        <v/>
      </c>
      <c r="CG55" s="17" t="str">
        <f t="shared" si="106"/>
        <v/>
      </c>
      <c r="CH55" s="17" t="str">
        <f t="shared" si="106"/>
        <v/>
      </c>
      <c r="CI55" s="17" t="str">
        <f t="shared" si="103"/>
        <v/>
      </c>
      <c r="CJ55" s="17" t="str">
        <f t="shared" si="103"/>
        <v/>
      </c>
      <c r="CK55" s="17" t="str">
        <f t="shared" si="103"/>
        <v/>
      </c>
      <c r="CL55" s="17" t="str">
        <f t="shared" si="103"/>
        <v/>
      </c>
      <c r="CM55" s="17" t="str">
        <f t="shared" si="103"/>
        <v/>
      </c>
      <c r="CN55" s="17" t="str">
        <f t="shared" si="103"/>
        <v/>
      </c>
      <c r="CO55" s="17" t="str">
        <f t="shared" si="103"/>
        <v/>
      </c>
      <c r="CP55" s="17" t="str">
        <f t="shared" si="103"/>
        <v/>
      </c>
      <c r="CQ55" s="17" t="str">
        <f t="shared" si="103"/>
        <v/>
      </c>
      <c r="CR55" s="17" t="str">
        <f t="shared" si="103"/>
        <v/>
      </c>
      <c r="CS55" s="17" t="str">
        <f t="shared" si="103"/>
        <v/>
      </c>
      <c r="CT55" s="17" t="str">
        <f t="shared" si="103"/>
        <v/>
      </c>
      <c r="CU55" s="17" t="str">
        <f t="shared" si="103"/>
        <v/>
      </c>
      <c r="CV55" s="17" t="str">
        <f t="shared" si="98"/>
        <v/>
      </c>
      <c r="CW55" s="17" t="str">
        <f t="shared" si="98"/>
        <v/>
      </c>
      <c r="CX55" s="17" t="str">
        <f t="shared" si="98"/>
        <v/>
      </c>
      <c r="CY55" s="17" t="str">
        <f t="shared" si="98"/>
        <v/>
      </c>
      <c r="CZ55" s="17" t="str">
        <f t="shared" si="98"/>
        <v/>
      </c>
      <c r="DA55" s="17" t="str">
        <f t="shared" si="98"/>
        <v/>
      </c>
      <c r="DB55" s="17" t="str">
        <f t="shared" si="98"/>
        <v/>
      </c>
      <c r="DC55" s="17" t="str">
        <f t="shared" si="98"/>
        <v/>
      </c>
      <c r="DE55" s="23">
        <f t="shared" si="90"/>
        <v>0</v>
      </c>
      <c r="DF55" s="23">
        <f t="shared" si="91"/>
        <v>0</v>
      </c>
    </row>
    <row r="56" spans="2:110" ht="15.75" x14ac:dyDescent="0.25">
      <c r="B56" s="28">
        <f t="shared" si="95"/>
        <v>48</v>
      </c>
      <c r="C56" s="55" t="s">
        <v>122</v>
      </c>
      <c r="D56" s="31">
        <v>1</v>
      </c>
      <c r="E56" s="32">
        <v>47</v>
      </c>
      <c r="F56" s="31" t="s">
        <v>71</v>
      </c>
      <c r="G56" s="33">
        <v>0</v>
      </c>
      <c r="H56" s="29">
        <f t="shared" si="73"/>
        <v>45988</v>
      </c>
      <c r="I56" s="29">
        <f t="shared" si="104"/>
        <v>45988</v>
      </c>
      <c r="J56" s="58" t="s">
        <v>127</v>
      </c>
      <c r="K56" s="31" t="s">
        <v>9</v>
      </c>
      <c r="L56" s="34"/>
      <c r="M56" s="30" t="str">
        <f t="shared" si="105"/>
        <v/>
      </c>
      <c r="O56" s="16" t="str">
        <f t="shared" si="100"/>
        <v/>
      </c>
      <c r="P56" s="17" t="str">
        <f t="shared" si="100"/>
        <v/>
      </c>
      <c r="Q56" s="17" t="str">
        <f t="shared" si="100"/>
        <v/>
      </c>
      <c r="R56" s="17" t="str">
        <f t="shared" si="100"/>
        <v/>
      </c>
      <c r="S56" s="17" t="str">
        <f t="shared" si="100"/>
        <v/>
      </c>
      <c r="T56" s="17" t="str">
        <f t="shared" si="100"/>
        <v/>
      </c>
      <c r="U56" s="17" t="str">
        <f t="shared" si="100"/>
        <v/>
      </c>
      <c r="V56" s="17" t="str">
        <f t="shared" si="100"/>
        <v/>
      </c>
      <c r="W56" s="17" t="str">
        <f t="shared" si="100"/>
        <v/>
      </c>
      <c r="X56" s="17" t="str">
        <f t="shared" si="100"/>
        <v/>
      </c>
      <c r="Y56" s="17" t="str">
        <f t="shared" si="100"/>
        <v/>
      </c>
      <c r="Z56" s="17" t="str">
        <f t="shared" si="100"/>
        <v/>
      </c>
      <c r="AA56" s="17" t="str">
        <f t="shared" si="100"/>
        <v/>
      </c>
      <c r="AB56" s="17" t="str">
        <f t="shared" si="100"/>
        <v/>
      </c>
      <c r="AC56" s="17" t="str">
        <f t="shared" si="100"/>
        <v/>
      </c>
      <c r="AD56" s="17" t="str">
        <f t="shared" si="100"/>
        <v/>
      </c>
      <c r="AE56" s="17" t="str">
        <f t="shared" si="107"/>
        <v/>
      </c>
      <c r="AF56" s="17" t="str">
        <f t="shared" si="107"/>
        <v/>
      </c>
      <c r="AG56" s="17" t="str">
        <f t="shared" si="107"/>
        <v/>
      </c>
      <c r="AH56" s="17" t="str">
        <f t="shared" si="107"/>
        <v/>
      </c>
      <c r="AI56" s="17" t="str">
        <f t="shared" si="107"/>
        <v/>
      </c>
      <c r="AJ56" s="17" t="str">
        <f t="shared" si="107"/>
        <v/>
      </c>
      <c r="AK56" s="17" t="str">
        <f t="shared" si="107"/>
        <v>x</v>
      </c>
      <c r="AL56" s="17" t="str">
        <f t="shared" si="107"/>
        <v/>
      </c>
      <c r="AM56" s="17" t="str">
        <f t="shared" si="107"/>
        <v/>
      </c>
      <c r="AN56" s="17" t="str">
        <f t="shared" si="107"/>
        <v/>
      </c>
      <c r="AO56" s="17" t="str">
        <f t="shared" si="107"/>
        <v/>
      </c>
      <c r="AP56" s="17" t="str">
        <f t="shared" si="107"/>
        <v/>
      </c>
      <c r="AQ56" s="17" t="str">
        <f t="shared" si="107"/>
        <v/>
      </c>
      <c r="AR56" s="17" t="str">
        <f t="shared" si="107"/>
        <v/>
      </c>
      <c r="AS56" s="17" t="str">
        <f t="shared" si="107"/>
        <v/>
      </c>
      <c r="AT56" s="17" t="str">
        <f t="shared" si="107"/>
        <v/>
      </c>
      <c r="AU56" s="17" t="str">
        <f t="shared" si="101"/>
        <v/>
      </c>
      <c r="AV56" s="17" t="str">
        <f t="shared" si="101"/>
        <v/>
      </c>
      <c r="AW56" s="17" t="str">
        <f t="shared" si="101"/>
        <v/>
      </c>
      <c r="AX56" s="17" t="str">
        <f t="shared" si="101"/>
        <v/>
      </c>
      <c r="AY56" s="17" t="str">
        <f t="shared" si="101"/>
        <v/>
      </c>
      <c r="AZ56" s="17" t="str">
        <f t="shared" si="101"/>
        <v/>
      </c>
      <c r="BA56" s="17" t="str">
        <f t="shared" si="101"/>
        <v/>
      </c>
      <c r="BB56" s="17" t="str">
        <f t="shared" si="101"/>
        <v/>
      </c>
      <c r="BC56" s="17" t="str">
        <f t="shared" si="101"/>
        <v/>
      </c>
      <c r="BD56" s="17" t="str">
        <f t="shared" si="101"/>
        <v/>
      </c>
      <c r="BE56" s="17" t="str">
        <f t="shared" si="101"/>
        <v/>
      </c>
      <c r="BF56" s="17" t="str">
        <f t="shared" si="101"/>
        <v/>
      </c>
      <c r="BG56" s="17" t="str">
        <f t="shared" si="101"/>
        <v/>
      </c>
      <c r="BH56" s="17" t="str">
        <f t="shared" si="101"/>
        <v/>
      </c>
      <c r="BI56" s="17" t="str">
        <f t="shared" si="101"/>
        <v/>
      </c>
      <c r="BJ56" s="17" t="str">
        <f t="shared" si="101"/>
        <v/>
      </c>
      <c r="BK56" s="17" t="str">
        <f t="shared" si="99"/>
        <v/>
      </c>
      <c r="BL56" s="17" t="str">
        <f t="shared" si="99"/>
        <v/>
      </c>
      <c r="BM56" s="17" t="str">
        <f t="shared" si="99"/>
        <v/>
      </c>
      <c r="BN56" s="17" t="str">
        <f t="shared" si="99"/>
        <v/>
      </c>
      <c r="BO56" s="17" t="str">
        <f t="shared" si="99"/>
        <v/>
      </c>
      <c r="BP56" s="17" t="str">
        <f t="shared" si="99"/>
        <v/>
      </c>
      <c r="BQ56" s="17" t="str">
        <f t="shared" si="99"/>
        <v/>
      </c>
      <c r="BR56" s="17" t="str">
        <f t="shared" si="99"/>
        <v/>
      </c>
      <c r="BS56" s="17" t="str">
        <f t="shared" si="99"/>
        <v/>
      </c>
      <c r="BT56" s="17" t="str">
        <f t="shared" si="99"/>
        <v/>
      </c>
      <c r="BU56" s="17" t="str">
        <f t="shared" si="99"/>
        <v/>
      </c>
      <c r="BV56" s="17" t="str">
        <f t="shared" si="99"/>
        <v/>
      </c>
      <c r="BW56" s="17" t="str">
        <f t="shared" si="99"/>
        <v/>
      </c>
      <c r="BX56" s="17" t="str">
        <f t="shared" si="106"/>
        <v/>
      </c>
      <c r="BY56" s="17" t="str">
        <f t="shared" si="106"/>
        <v/>
      </c>
      <c r="BZ56" s="17" t="str">
        <f t="shared" si="106"/>
        <v/>
      </c>
      <c r="CA56" s="17" t="str">
        <f t="shared" si="106"/>
        <v/>
      </c>
      <c r="CB56" s="17" t="str">
        <f t="shared" si="106"/>
        <v/>
      </c>
      <c r="CC56" s="17" t="str">
        <f t="shared" si="106"/>
        <v/>
      </c>
      <c r="CD56" s="17" t="str">
        <f t="shared" si="106"/>
        <v/>
      </c>
      <c r="CE56" s="17" t="str">
        <f t="shared" si="106"/>
        <v/>
      </c>
      <c r="CF56" s="17" t="str">
        <f t="shared" si="106"/>
        <v/>
      </c>
      <c r="CG56" s="17" t="str">
        <f t="shared" si="106"/>
        <v/>
      </c>
      <c r="CH56" s="17" t="str">
        <f t="shared" si="106"/>
        <v/>
      </c>
      <c r="CI56" s="17" t="str">
        <f t="shared" si="103"/>
        <v/>
      </c>
      <c r="CJ56" s="17" t="str">
        <f t="shared" si="103"/>
        <v/>
      </c>
      <c r="CK56" s="17" t="str">
        <f t="shared" si="103"/>
        <v/>
      </c>
      <c r="CL56" s="17" t="str">
        <f t="shared" si="103"/>
        <v/>
      </c>
      <c r="CM56" s="17" t="str">
        <f t="shared" si="103"/>
        <v/>
      </c>
      <c r="CN56" s="17" t="str">
        <f t="shared" si="103"/>
        <v/>
      </c>
      <c r="CO56" s="17" t="str">
        <f t="shared" si="103"/>
        <v/>
      </c>
      <c r="CP56" s="17" t="str">
        <f t="shared" si="103"/>
        <v/>
      </c>
      <c r="CQ56" s="17" t="str">
        <f t="shared" si="103"/>
        <v/>
      </c>
      <c r="CR56" s="17" t="str">
        <f t="shared" si="103"/>
        <v/>
      </c>
      <c r="CS56" s="17" t="str">
        <f t="shared" si="103"/>
        <v/>
      </c>
      <c r="CT56" s="17" t="str">
        <f t="shared" si="103"/>
        <v/>
      </c>
      <c r="CU56" s="17" t="str">
        <f t="shared" si="103"/>
        <v/>
      </c>
      <c r="CV56" s="17" t="str">
        <f t="shared" si="98"/>
        <v/>
      </c>
      <c r="CW56" s="17" t="str">
        <f t="shared" si="98"/>
        <v/>
      </c>
      <c r="CX56" s="17" t="str">
        <f t="shared" si="98"/>
        <v/>
      </c>
      <c r="CY56" s="17" t="str">
        <f t="shared" si="98"/>
        <v/>
      </c>
      <c r="CZ56" s="17" t="str">
        <f t="shared" si="98"/>
        <v/>
      </c>
      <c r="DA56" s="17" t="str">
        <f t="shared" si="98"/>
        <v/>
      </c>
      <c r="DB56" s="17" t="str">
        <f t="shared" si="98"/>
        <v/>
      </c>
      <c r="DC56" s="17" t="str">
        <f t="shared" si="98"/>
        <v/>
      </c>
      <c r="DE56" s="23">
        <f t="shared" si="90"/>
        <v>0</v>
      </c>
      <c r="DF56" s="23">
        <f t="shared" si="91"/>
        <v>0</v>
      </c>
    </row>
    <row r="57" spans="2:110" ht="15.75" x14ac:dyDescent="0.25">
      <c r="B57" s="28">
        <f t="shared" si="95"/>
        <v>49</v>
      </c>
      <c r="C57" s="55" t="s">
        <v>123</v>
      </c>
      <c r="D57" s="31">
        <v>1</v>
      </c>
      <c r="E57" s="32">
        <v>48</v>
      </c>
      <c r="F57" s="31" t="s">
        <v>60</v>
      </c>
      <c r="G57" s="33">
        <v>1</v>
      </c>
      <c r="H57" s="29">
        <f t="shared" si="73"/>
        <v>45989</v>
      </c>
      <c r="I57" s="29">
        <f t="shared" si="104"/>
        <v>45989</v>
      </c>
      <c r="J57" s="58" t="s">
        <v>127</v>
      </c>
      <c r="K57" s="31" t="s">
        <v>9</v>
      </c>
      <c r="L57" s="34"/>
      <c r="M57" s="30" t="str">
        <f t="shared" si="105"/>
        <v/>
      </c>
      <c r="O57" s="16" t="str">
        <f t="shared" si="100"/>
        <v/>
      </c>
      <c r="P57" s="17" t="str">
        <f t="shared" si="100"/>
        <v/>
      </c>
      <c r="Q57" s="17" t="str">
        <f t="shared" si="100"/>
        <v/>
      </c>
      <c r="R57" s="17" t="str">
        <f t="shared" si="100"/>
        <v/>
      </c>
      <c r="S57" s="17" t="str">
        <f t="shared" si="100"/>
        <v/>
      </c>
      <c r="T57" s="17" t="str">
        <f t="shared" si="100"/>
        <v/>
      </c>
      <c r="U57" s="17" t="str">
        <f t="shared" si="100"/>
        <v/>
      </c>
      <c r="V57" s="17" t="str">
        <f t="shared" si="100"/>
        <v/>
      </c>
      <c r="W57" s="17" t="str">
        <f t="shared" si="100"/>
        <v/>
      </c>
      <c r="X57" s="17" t="str">
        <f t="shared" si="100"/>
        <v/>
      </c>
      <c r="Y57" s="17" t="str">
        <f t="shared" si="100"/>
        <v/>
      </c>
      <c r="Z57" s="17" t="str">
        <f t="shared" si="100"/>
        <v/>
      </c>
      <c r="AA57" s="17" t="str">
        <f t="shared" si="100"/>
        <v/>
      </c>
      <c r="AB57" s="17" t="str">
        <f t="shared" si="100"/>
        <v/>
      </c>
      <c r="AC57" s="17" t="str">
        <f t="shared" si="100"/>
        <v/>
      </c>
      <c r="AD57" s="17" t="str">
        <f t="shared" si="100"/>
        <v/>
      </c>
      <c r="AE57" s="17" t="str">
        <f t="shared" si="107"/>
        <v/>
      </c>
      <c r="AF57" s="17" t="str">
        <f t="shared" si="107"/>
        <v/>
      </c>
      <c r="AG57" s="17" t="str">
        <f t="shared" si="107"/>
        <v/>
      </c>
      <c r="AH57" s="17" t="str">
        <f t="shared" si="107"/>
        <v/>
      </c>
      <c r="AI57" s="17" t="str">
        <f t="shared" si="107"/>
        <v/>
      </c>
      <c r="AJ57" s="17" t="str">
        <f t="shared" si="107"/>
        <v/>
      </c>
      <c r="AK57" s="17" t="str">
        <f t="shared" si="107"/>
        <v/>
      </c>
      <c r="AL57" s="17" t="str">
        <f t="shared" si="107"/>
        <v>x</v>
      </c>
      <c r="AM57" s="17" t="str">
        <f t="shared" si="107"/>
        <v/>
      </c>
      <c r="AN57" s="17" t="str">
        <f t="shared" si="107"/>
        <v/>
      </c>
      <c r="AO57" s="17" t="str">
        <f t="shared" si="107"/>
        <v/>
      </c>
      <c r="AP57" s="17" t="str">
        <f t="shared" si="107"/>
        <v/>
      </c>
      <c r="AQ57" s="17" t="str">
        <f t="shared" si="107"/>
        <v/>
      </c>
      <c r="AR57" s="17" t="str">
        <f t="shared" si="107"/>
        <v/>
      </c>
      <c r="AS57" s="17" t="str">
        <f t="shared" si="107"/>
        <v/>
      </c>
      <c r="AT57" s="17" t="str">
        <f t="shared" si="107"/>
        <v/>
      </c>
      <c r="AU57" s="17" t="str">
        <f t="shared" si="101"/>
        <v/>
      </c>
      <c r="AV57" s="17" t="str">
        <f t="shared" si="101"/>
        <v/>
      </c>
      <c r="AW57" s="17" t="str">
        <f t="shared" si="101"/>
        <v/>
      </c>
      <c r="AX57" s="17" t="str">
        <f t="shared" si="101"/>
        <v/>
      </c>
      <c r="AY57" s="17" t="str">
        <f t="shared" si="101"/>
        <v/>
      </c>
      <c r="AZ57" s="17" t="str">
        <f t="shared" si="101"/>
        <v/>
      </c>
      <c r="BA57" s="17" t="str">
        <f t="shared" si="101"/>
        <v/>
      </c>
      <c r="BB57" s="17" t="str">
        <f t="shared" si="101"/>
        <v/>
      </c>
      <c r="BC57" s="17" t="str">
        <f t="shared" si="101"/>
        <v/>
      </c>
      <c r="BD57" s="17" t="str">
        <f t="shared" si="101"/>
        <v/>
      </c>
      <c r="BE57" s="17" t="str">
        <f t="shared" si="101"/>
        <v/>
      </c>
      <c r="BF57" s="17" t="str">
        <f t="shared" si="101"/>
        <v/>
      </c>
      <c r="BG57" s="17" t="str">
        <f t="shared" si="101"/>
        <v/>
      </c>
      <c r="BH57" s="17" t="str">
        <f t="shared" si="101"/>
        <v/>
      </c>
      <c r="BI57" s="17" t="str">
        <f t="shared" si="101"/>
        <v/>
      </c>
      <c r="BJ57" s="17" t="str">
        <f t="shared" si="101"/>
        <v/>
      </c>
      <c r="BK57" s="17" t="str">
        <f t="shared" si="99"/>
        <v/>
      </c>
      <c r="BL57" s="17" t="str">
        <f t="shared" si="99"/>
        <v/>
      </c>
      <c r="BM57" s="17" t="str">
        <f t="shared" si="99"/>
        <v/>
      </c>
      <c r="BN57" s="17" t="str">
        <f t="shared" si="99"/>
        <v/>
      </c>
      <c r="BO57" s="17" t="str">
        <f t="shared" si="99"/>
        <v/>
      </c>
      <c r="BP57" s="17" t="str">
        <f t="shared" si="99"/>
        <v/>
      </c>
      <c r="BQ57" s="17" t="str">
        <f t="shared" si="99"/>
        <v/>
      </c>
      <c r="BR57" s="17" t="str">
        <f t="shared" si="99"/>
        <v/>
      </c>
      <c r="BS57" s="17" t="str">
        <f t="shared" si="99"/>
        <v/>
      </c>
      <c r="BT57" s="17" t="str">
        <f t="shared" si="99"/>
        <v/>
      </c>
      <c r="BU57" s="17" t="str">
        <f t="shared" si="99"/>
        <v/>
      </c>
      <c r="BV57" s="17" t="str">
        <f t="shared" si="99"/>
        <v/>
      </c>
      <c r="BW57" s="17" t="str">
        <f t="shared" si="99"/>
        <v/>
      </c>
      <c r="BX57" s="17" t="str">
        <f t="shared" si="106"/>
        <v/>
      </c>
      <c r="BY57" s="17" t="str">
        <f t="shared" si="106"/>
        <v/>
      </c>
      <c r="BZ57" s="17" t="str">
        <f t="shared" si="106"/>
        <v/>
      </c>
      <c r="CA57" s="17" t="str">
        <f t="shared" si="106"/>
        <v/>
      </c>
      <c r="CB57" s="17" t="str">
        <f t="shared" si="106"/>
        <v/>
      </c>
      <c r="CC57" s="17" t="str">
        <f t="shared" si="106"/>
        <v/>
      </c>
      <c r="CD57" s="17" t="str">
        <f t="shared" si="106"/>
        <v/>
      </c>
      <c r="CE57" s="17" t="str">
        <f t="shared" si="106"/>
        <v/>
      </c>
      <c r="CF57" s="17" t="str">
        <f t="shared" si="106"/>
        <v/>
      </c>
      <c r="CG57" s="17" t="str">
        <f t="shared" si="106"/>
        <v/>
      </c>
      <c r="CH57" s="17" t="str">
        <f t="shared" si="106"/>
        <v/>
      </c>
      <c r="CI57" s="17" t="str">
        <f t="shared" si="103"/>
        <v/>
      </c>
      <c r="CJ57" s="17" t="str">
        <f t="shared" si="103"/>
        <v/>
      </c>
      <c r="CK57" s="17" t="str">
        <f t="shared" si="103"/>
        <v/>
      </c>
      <c r="CL57" s="17" t="str">
        <f t="shared" si="103"/>
        <v/>
      </c>
      <c r="CM57" s="17" t="str">
        <f t="shared" si="103"/>
        <v/>
      </c>
      <c r="CN57" s="17" t="str">
        <f t="shared" si="103"/>
        <v/>
      </c>
      <c r="CO57" s="17" t="str">
        <f t="shared" si="103"/>
        <v/>
      </c>
      <c r="CP57" s="17" t="str">
        <f t="shared" si="103"/>
        <v/>
      </c>
      <c r="CQ57" s="17" t="str">
        <f t="shared" si="103"/>
        <v/>
      </c>
      <c r="CR57" s="17" t="str">
        <f t="shared" si="103"/>
        <v/>
      </c>
      <c r="CS57" s="17" t="str">
        <f t="shared" si="103"/>
        <v/>
      </c>
      <c r="CT57" s="17" t="str">
        <f t="shared" si="103"/>
        <v/>
      </c>
      <c r="CU57" s="17" t="str">
        <f t="shared" si="103"/>
        <v/>
      </c>
      <c r="CV57" s="17" t="str">
        <f t="shared" si="103"/>
        <v/>
      </c>
      <c r="CW57" s="17" t="str">
        <f t="shared" si="103"/>
        <v/>
      </c>
      <c r="CX57" s="17" t="str">
        <f t="shared" si="103"/>
        <v/>
      </c>
      <c r="CY57" s="17" t="str">
        <f t="shared" ref="CV57:DC61" si="108">IF(AND(CY$8&gt;=$H57,CY$8&lt;=$I57),"x","")</f>
        <v/>
      </c>
      <c r="CZ57" s="17" t="str">
        <f t="shared" si="108"/>
        <v/>
      </c>
      <c r="DA57" s="17" t="str">
        <f t="shared" si="108"/>
        <v/>
      </c>
      <c r="DB57" s="17" t="str">
        <f t="shared" si="108"/>
        <v/>
      </c>
      <c r="DC57" s="17" t="str">
        <f t="shared" si="108"/>
        <v/>
      </c>
      <c r="DE57" s="23">
        <f t="shared" si="90"/>
        <v>0</v>
      </c>
      <c r="DF57" s="23">
        <f t="shared" si="91"/>
        <v>0</v>
      </c>
    </row>
    <row r="58" spans="2:110" ht="15.75" x14ac:dyDescent="0.25">
      <c r="B58" s="28">
        <f t="shared" si="95"/>
        <v>50</v>
      </c>
      <c r="C58" s="55" t="s">
        <v>124</v>
      </c>
      <c r="D58" s="31">
        <v>2</v>
      </c>
      <c r="E58" s="32">
        <v>49</v>
      </c>
      <c r="F58" s="31" t="s">
        <v>60</v>
      </c>
      <c r="G58" s="33">
        <v>0</v>
      </c>
      <c r="H58" s="29">
        <f t="shared" si="73"/>
        <v>45989</v>
      </c>
      <c r="I58" s="29">
        <f t="shared" si="104"/>
        <v>45990</v>
      </c>
      <c r="J58" s="58" t="s">
        <v>127</v>
      </c>
      <c r="K58" s="31" t="s">
        <v>9</v>
      </c>
      <c r="L58" s="34"/>
      <c r="M58" s="30" t="str">
        <f t="shared" si="105"/>
        <v/>
      </c>
      <c r="O58" s="16" t="str">
        <f t="shared" si="100"/>
        <v/>
      </c>
      <c r="P58" s="17" t="str">
        <f t="shared" si="100"/>
        <v/>
      </c>
      <c r="Q58" s="17" t="str">
        <f t="shared" si="100"/>
        <v/>
      </c>
      <c r="R58" s="17" t="str">
        <f t="shared" si="100"/>
        <v/>
      </c>
      <c r="S58" s="17" t="str">
        <f t="shared" si="100"/>
        <v/>
      </c>
      <c r="T58" s="17" t="str">
        <f t="shared" si="100"/>
        <v/>
      </c>
      <c r="U58" s="17" t="str">
        <f t="shared" si="100"/>
        <v/>
      </c>
      <c r="V58" s="17" t="str">
        <f t="shared" si="100"/>
        <v/>
      </c>
      <c r="W58" s="17" t="str">
        <f t="shared" si="100"/>
        <v/>
      </c>
      <c r="X58" s="17" t="str">
        <f t="shared" si="100"/>
        <v/>
      </c>
      <c r="Y58" s="17" t="str">
        <f t="shared" si="100"/>
        <v/>
      </c>
      <c r="Z58" s="17" t="str">
        <f t="shared" si="100"/>
        <v/>
      </c>
      <c r="AA58" s="17" t="str">
        <f t="shared" si="100"/>
        <v/>
      </c>
      <c r="AB58" s="17" t="str">
        <f t="shared" si="100"/>
        <v/>
      </c>
      <c r="AC58" s="17" t="str">
        <f t="shared" si="100"/>
        <v/>
      </c>
      <c r="AD58" s="17" t="str">
        <f t="shared" si="100"/>
        <v/>
      </c>
      <c r="AE58" s="17" t="str">
        <f t="shared" si="107"/>
        <v/>
      </c>
      <c r="AF58" s="17" t="str">
        <f t="shared" si="107"/>
        <v/>
      </c>
      <c r="AG58" s="17" t="str">
        <f t="shared" si="107"/>
        <v/>
      </c>
      <c r="AH58" s="17" t="str">
        <f t="shared" si="107"/>
        <v/>
      </c>
      <c r="AI58" s="17" t="str">
        <f t="shared" si="107"/>
        <v/>
      </c>
      <c r="AJ58" s="17" t="str">
        <f t="shared" si="107"/>
        <v/>
      </c>
      <c r="AK58" s="17" t="str">
        <f t="shared" si="107"/>
        <v/>
      </c>
      <c r="AL58" s="17" t="str">
        <f t="shared" si="107"/>
        <v>x</v>
      </c>
      <c r="AM58" s="17" t="str">
        <f t="shared" si="107"/>
        <v>x</v>
      </c>
      <c r="AN58" s="17" t="str">
        <f t="shared" si="107"/>
        <v/>
      </c>
      <c r="AO58" s="17" t="str">
        <f t="shared" si="107"/>
        <v/>
      </c>
      <c r="AP58" s="17" t="str">
        <f t="shared" si="107"/>
        <v/>
      </c>
      <c r="AQ58" s="17" t="str">
        <f t="shared" si="107"/>
        <v/>
      </c>
      <c r="AR58" s="17" t="str">
        <f t="shared" si="107"/>
        <v/>
      </c>
      <c r="AS58" s="17" t="str">
        <f t="shared" si="107"/>
        <v/>
      </c>
      <c r="AT58" s="17" t="str">
        <f t="shared" si="107"/>
        <v/>
      </c>
      <c r="AU58" s="17" t="str">
        <f t="shared" si="101"/>
        <v/>
      </c>
      <c r="AV58" s="17" t="str">
        <f t="shared" si="101"/>
        <v/>
      </c>
      <c r="AW58" s="17" t="str">
        <f t="shared" si="101"/>
        <v/>
      </c>
      <c r="AX58" s="17" t="str">
        <f t="shared" si="101"/>
        <v/>
      </c>
      <c r="AY58" s="17" t="str">
        <f t="shared" si="101"/>
        <v/>
      </c>
      <c r="AZ58" s="17" t="str">
        <f t="shared" si="101"/>
        <v/>
      </c>
      <c r="BA58" s="17" t="str">
        <f t="shared" si="101"/>
        <v/>
      </c>
      <c r="BB58" s="17" t="str">
        <f t="shared" si="101"/>
        <v/>
      </c>
      <c r="BC58" s="17" t="str">
        <f t="shared" si="101"/>
        <v/>
      </c>
      <c r="BD58" s="17" t="str">
        <f t="shared" si="101"/>
        <v/>
      </c>
      <c r="BE58" s="17" t="str">
        <f t="shared" si="101"/>
        <v/>
      </c>
      <c r="BF58" s="17" t="str">
        <f t="shared" si="101"/>
        <v/>
      </c>
      <c r="BG58" s="17" t="str">
        <f t="shared" si="101"/>
        <v/>
      </c>
      <c r="BH58" s="17" t="str">
        <f t="shared" si="101"/>
        <v/>
      </c>
      <c r="BI58" s="17" t="str">
        <f t="shared" si="101"/>
        <v/>
      </c>
      <c r="BJ58" s="17" t="str">
        <f t="shared" ref="BJ58:BW61" si="109">IF(AND(BJ$8&gt;=$H58,BJ$8&lt;=$I58),"x","")</f>
        <v/>
      </c>
      <c r="BK58" s="17" t="str">
        <f t="shared" si="109"/>
        <v/>
      </c>
      <c r="BL58" s="17" t="str">
        <f t="shared" si="109"/>
        <v/>
      </c>
      <c r="BM58" s="17" t="str">
        <f t="shared" si="109"/>
        <v/>
      </c>
      <c r="BN58" s="17" t="str">
        <f t="shared" si="109"/>
        <v/>
      </c>
      <c r="BO58" s="17" t="str">
        <f t="shared" si="109"/>
        <v/>
      </c>
      <c r="BP58" s="17" t="str">
        <f t="shared" si="109"/>
        <v/>
      </c>
      <c r="BQ58" s="17" t="str">
        <f t="shared" si="109"/>
        <v/>
      </c>
      <c r="BR58" s="17" t="str">
        <f t="shared" si="109"/>
        <v/>
      </c>
      <c r="BS58" s="17" t="str">
        <f t="shared" si="109"/>
        <v/>
      </c>
      <c r="BT58" s="17" t="str">
        <f t="shared" si="109"/>
        <v/>
      </c>
      <c r="BU58" s="17" t="str">
        <f t="shared" si="109"/>
        <v/>
      </c>
      <c r="BV58" s="17" t="str">
        <f t="shared" si="109"/>
        <v/>
      </c>
      <c r="BW58" s="17" t="str">
        <f t="shared" si="109"/>
        <v/>
      </c>
      <c r="BX58" s="17" t="str">
        <f t="shared" si="106"/>
        <v/>
      </c>
      <c r="BY58" s="17" t="str">
        <f t="shared" si="106"/>
        <v/>
      </c>
      <c r="BZ58" s="17" t="str">
        <f t="shared" si="106"/>
        <v/>
      </c>
      <c r="CA58" s="17" t="str">
        <f t="shared" si="106"/>
        <v/>
      </c>
      <c r="CB58" s="17" t="str">
        <f t="shared" si="106"/>
        <v/>
      </c>
      <c r="CC58" s="17" t="str">
        <f t="shared" si="106"/>
        <v/>
      </c>
      <c r="CD58" s="17" t="str">
        <f t="shared" si="106"/>
        <v/>
      </c>
      <c r="CE58" s="17" t="str">
        <f t="shared" si="106"/>
        <v/>
      </c>
      <c r="CF58" s="17" t="str">
        <f t="shared" si="106"/>
        <v/>
      </c>
      <c r="CG58" s="17" t="str">
        <f t="shared" si="106"/>
        <v/>
      </c>
      <c r="CH58" s="17" t="str">
        <f t="shared" si="106"/>
        <v/>
      </c>
      <c r="CI58" s="17" t="str">
        <f t="shared" si="103"/>
        <v/>
      </c>
      <c r="CJ58" s="17" t="str">
        <f t="shared" si="103"/>
        <v/>
      </c>
      <c r="CK58" s="17" t="str">
        <f t="shared" si="103"/>
        <v/>
      </c>
      <c r="CL58" s="17" t="str">
        <f t="shared" si="103"/>
        <v/>
      </c>
      <c r="CM58" s="17" t="str">
        <f t="shared" si="103"/>
        <v/>
      </c>
      <c r="CN58" s="17" t="str">
        <f t="shared" si="103"/>
        <v/>
      </c>
      <c r="CO58" s="17" t="str">
        <f t="shared" si="103"/>
        <v/>
      </c>
      <c r="CP58" s="17" t="str">
        <f t="shared" si="103"/>
        <v/>
      </c>
      <c r="CQ58" s="17" t="str">
        <f t="shared" si="103"/>
        <v/>
      </c>
      <c r="CR58" s="17" t="str">
        <f t="shared" si="103"/>
        <v/>
      </c>
      <c r="CS58" s="17" t="str">
        <f t="shared" si="103"/>
        <v/>
      </c>
      <c r="CT58" s="17" t="str">
        <f t="shared" si="103"/>
        <v/>
      </c>
      <c r="CU58" s="17" t="str">
        <f t="shared" si="103"/>
        <v/>
      </c>
      <c r="CV58" s="17" t="str">
        <f t="shared" si="108"/>
        <v/>
      </c>
      <c r="CW58" s="17" t="str">
        <f t="shared" si="108"/>
        <v/>
      </c>
      <c r="CX58" s="17" t="str">
        <f t="shared" si="108"/>
        <v/>
      </c>
      <c r="CY58" s="17" t="str">
        <f t="shared" si="108"/>
        <v/>
      </c>
      <c r="CZ58" s="17" t="str">
        <f t="shared" si="108"/>
        <v/>
      </c>
      <c r="DA58" s="17" t="str">
        <f t="shared" si="108"/>
        <v/>
      </c>
      <c r="DB58" s="17" t="str">
        <f t="shared" si="108"/>
        <v/>
      </c>
      <c r="DC58" s="17" t="str">
        <f t="shared" si="108"/>
        <v/>
      </c>
      <c r="DE58" s="23">
        <f t="shared" si="90"/>
        <v>0</v>
      </c>
      <c r="DF58" s="23">
        <f t="shared" si="91"/>
        <v>0</v>
      </c>
    </row>
    <row r="59" spans="2:110" ht="15.75" x14ac:dyDescent="0.25">
      <c r="B59" s="28">
        <f t="shared" si="95"/>
        <v>51</v>
      </c>
      <c r="C59" s="56" t="s">
        <v>76</v>
      </c>
      <c r="D59" s="31">
        <v>2</v>
      </c>
      <c r="E59" s="32">
        <v>47</v>
      </c>
      <c r="F59" s="31" t="s">
        <v>60</v>
      </c>
      <c r="G59" s="33">
        <v>1</v>
      </c>
      <c r="H59" s="29">
        <f t="shared" si="73"/>
        <v>45991</v>
      </c>
      <c r="I59" s="29">
        <f t="shared" si="104"/>
        <v>45992</v>
      </c>
      <c r="J59" s="58" t="s">
        <v>127</v>
      </c>
      <c r="K59" s="31" t="s">
        <v>9</v>
      </c>
      <c r="L59" s="34"/>
      <c r="M59" s="30" t="str">
        <f t="shared" si="105"/>
        <v/>
      </c>
      <c r="O59" s="16" t="str">
        <f t="shared" ref="O59:AD61" si="110">IF(AND(O$8&gt;=$H59,O$8&lt;=$I59),"x","")</f>
        <v/>
      </c>
      <c r="P59" s="17" t="str">
        <f t="shared" si="110"/>
        <v/>
      </c>
      <c r="Q59" s="17" t="str">
        <f t="shared" si="110"/>
        <v/>
      </c>
      <c r="R59" s="17" t="str">
        <f t="shared" si="110"/>
        <v/>
      </c>
      <c r="S59" s="17" t="str">
        <f t="shared" si="110"/>
        <v/>
      </c>
      <c r="T59" s="17" t="str">
        <f t="shared" si="110"/>
        <v/>
      </c>
      <c r="U59" s="17" t="str">
        <f t="shared" si="110"/>
        <v/>
      </c>
      <c r="V59" s="17" t="str">
        <f t="shared" si="110"/>
        <v/>
      </c>
      <c r="W59" s="17" t="str">
        <f t="shared" si="110"/>
        <v/>
      </c>
      <c r="X59" s="17" t="str">
        <f t="shared" si="110"/>
        <v/>
      </c>
      <c r="Y59" s="17" t="str">
        <f t="shared" si="110"/>
        <v/>
      </c>
      <c r="Z59" s="17" t="str">
        <f t="shared" si="110"/>
        <v/>
      </c>
      <c r="AA59" s="17" t="str">
        <f t="shared" si="110"/>
        <v/>
      </c>
      <c r="AB59" s="17" t="str">
        <f t="shared" si="110"/>
        <v/>
      </c>
      <c r="AC59" s="17" t="str">
        <f t="shared" si="110"/>
        <v/>
      </c>
      <c r="AD59" s="17" t="str">
        <f t="shared" si="110"/>
        <v/>
      </c>
      <c r="AE59" s="17" t="str">
        <f t="shared" si="107"/>
        <v/>
      </c>
      <c r="AF59" s="17" t="str">
        <f t="shared" si="107"/>
        <v/>
      </c>
      <c r="AG59" s="17" t="str">
        <f t="shared" si="107"/>
        <v/>
      </c>
      <c r="AH59" s="17" t="str">
        <f t="shared" si="107"/>
        <v/>
      </c>
      <c r="AI59" s="17" t="str">
        <f t="shared" si="107"/>
        <v/>
      </c>
      <c r="AJ59" s="17" t="str">
        <f t="shared" si="107"/>
        <v/>
      </c>
      <c r="AK59" s="17" t="str">
        <f t="shared" si="107"/>
        <v/>
      </c>
      <c r="AL59" s="17" t="str">
        <f t="shared" si="107"/>
        <v/>
      </c>
      <c r="AM59" s="17" t="str">
        <f t="shared" si="107"/>
        <v/>
      </c>
      <c r="AN59" s="17" t="str">
        <f t="shared" si="107"/>
        <v>x</v>
      </c>
      <c r="AO59" s="17" t="str">
        <f t="shared" si="107"/>
        <v>x</v>
      </c>
      <c r="AP59" s="17" t="str">
        <f t="shared" si="107"/>
        <v/>
      </c>
      <c r="AQ59" s="17" t="str">
        <f t="shared" si="107"/>
        <v/>
      </c>
      <c r="AR59" s="17" t="str">
        <f t="shared" si="107"/>
        <v/>
      </c>
      <c r="AS59" s="17" t="str">
        <f t="shared" si="107"/>
        <v/>
      </c>
      <c r="AT59" s="17" t="str">
        <f t="shared" si="107"/>
        <v/>
      </c>
      <c r="AU59" s="17" t="str">
        <f t="shared" ref="AU59:BJ61" si="111">IF(AND(AU$8&gt;=$H59,AU$8&lt;=$I59),"x","")</f>
        <v/>
      </c>
      <c r="AV59" s="17" t="str">
        <f t="shared" si="111"/>
        <v/>
      </c>
      <c r="AW59" s="17" t="str">
        <f t="shared" si="111"/>
        <v/>
      </c>
      <c r="AX59" s="17" t="str">
        <f t="shared" si="111"/>
        <v/>
      </c>
      <c r="AY59" s="17" t="str">
        <f t="shared" si="111"/>
        <v/>
      </c>
      <c r="AZ59" s="17" t="str">
        <f t="shared" si="111"/>
        <v/>
      </c>
      <c r="BA59" s="17" t="str">
        <f t="shared" si="111"/>
        <v/>
      </c>
      <c r="BB59" s="17" t="str">
        <f t="shared" si="111"/>
        <v/>
      </c>
      <c r="BC59" s="17" t="str">
        <f t="shared" si="111"/>
        <v/>
      </c>
      <c r="BD59" s="17" t="str">
        <f t="shared" si="111"/>
        <v/>
      </c>
      <c r="BE59" s="17" t="str">
        <f t="shared" si="111"/>
        <v/>
      </c>
      <c r="BF59" s="17" t="str">
        <f t="shared" si="111"/>
        <v/>
      </c>
      <c r="BG59" s="17" t="str">
        <f t="shared" si="111"/>
        <v/>
      </c>
      <c r="BH59" s="17" t="str">
        <f t="shared" si="111"/>
        <v/>
      </c>
      <c r="BI59" s="17" t="str">
        <f t="shared" si="111"/>
        <v/>
      </c>
      <c r="BJ59" s="17" t="str">
        <f t="shared" si="111"/>
        <v/>
      </c>
      <c r="BK59" s="17" t="str">
        <f t="shared" si="109"/>
        <v/>
      </c>
      <c r="BL59" s="17" t="str">
        <f t="shared" si="109"/>
        <v/>
      </c>
      <c r="BM59" s="17" t="str">
        <f t="shared" si="109"/>
        <v/>
      </c>
      <c r="BN59" s="17" t="str">
        <f t="shared" si="109"/>
        <v/>
      </c>
      <c r="BO59" s="17" t="str">
        <f t="shared" si="109"/>
        <v/>
      </c>
      <c r="BP59" s="17" t="str">
        <f t="shared" si="109"/>
        <v/>
      </c>
      <c r="BQ59" s="17" t="str">
        <f t="shared" si="109"/>
        <v/>
      </c>
      <c r="BR59" s="17" t="str">
        <f t="shared" si="109"/>
        <v/>
      </c>
      <c r="BS59" s="17" t="str">
        <f t="shared" si="109"/>
        <v/>
      </c>
      <c r="BT59" s="17" t="str">
        <f t="shared" si="109"/>
        <v/>
      </c>
      <c r="BU59" s="17" t="str">
        <f t="shared" si="109"/>
        <v/>
      </c>
      <c r="BV59" s="17" t="str">
        <f t="shared" si="109"/>
        <v/>
      </c>
      <c r="BW59" s="17" t="str">
        <f t="shared" si="109"/>
        <v/>
      </c>
      <c r="BX59" s="17" t="str">
        <f t="shared" si="106"/>
        <v/>
      </c>
      <c r="BY59" s="17" t="str">
        <f t="shared" si="106"/>
        <v/>
      </c>
      <c r="BZ59" s="17" t="str">
        <f t="shared" si="106"/>
        <v/>
      </c>
      <c r="CA59" s="17" t="str">
        <f t="shared" si="106"/>
        <v/>
      </c>
      <c r="CB59" s="17" t="str">
        <f t="shared" si="106"/>
        <v/>
      </c>
      <c r="CC59" s="17" t="str">
        <f t="shared" si="106"/>
        <v/>
      </c>
      <c r="CD59" s="17" t="str">
        <f t="shared" si="106"/>
        <v/>
      </c>
      <c r="CE59" s="17" t="str">
        <f t="shared" si="106"/>
        <v/>
      </c>
      <c r="CF59" s="17" t="str">
        <f t="shared" si="106"/>
        <v/>
      </c>
      <c r="CG59" s="17" t="str">
        <f t="shared" si="106"/>
        <v/>
      </c>
      <c r="CH59" s="17" t="str">
        <f t="shared" si="106"/>
        <v/>
      </c>
      <c r="CI59" s="17" t="str">
        <f t="shared" si="103"/>
        <v/>
      </c>
      <c r="CJ59" s="17" t="str">
        <f t="shared" si="103"/>
        <v/>
      </c>
      <c r="CK59" s="17" t="str">
        <f t="shared" si="103"/>
        <v/>
      </c>
      <c r="CL59" s="17" t="str">
        <f t="shared" si="103"/>
        <v/>
      </c>
      <c r="CM59" s="17" t="str">
        <f t="shared" si="103"/>
        <v/>
      </c>
      <c r="CN59" s="17" t="str">
        <f t="shared" si="103"/>
        <v/>
      </c>
      <c r="CO59" s="17" t="str">
        <f t="shared" si="103"/>
        <v/>
      </c>
      <c r="CP59" s="17" t="str">
        <f t="shared" si="103"/>
        <v/>
      </c>
      <c r="CQ59" s="17" t="str">
        <f t="shared" si="103"/>
        <v/>
      </c>
      <c r="CR59" s="17" t="str">
        <f t="shared" si="103"/>
        <v/>
      </c>
      <c r="CS59" s="17" t="str">
        <f t="shared" si="103"/>
        <v/>
      </c>
      <c r="CT59" s="17" t="str">
        <f t="shared" si="103"/>
        <v/>
      </c>
      <c r="CU59" s="17" t="str">
        <f t="shared" si="103"/>
        <v/>
      </c>
      <c r="CV59" s="17" t="str">
        <f t="shared" si="108"/>
        <v/>
      </c>
      <c r="CW59" s="17" t="str">
        <f t="shared" si="108"/>
        <v/>
      </c>
      <c r="CX59" s="17" t="str">
        <f t="shared" si="108"/>
        <v/>
      </c>
      <c r="CY59" s="17" t="str">
        <f t="shared" si="108"/>
        <v/>
      </c>
      <c r="CZ59" s="17" t="str">
        <f t="shared" si="108"/>
        <v/>
      </c>
      <c r="DA59" s="17" t="str">
        <f t="shared" si="108"/>
        <v/>
      </c>
      <c r="DB59" s="17" t="str">
        <f t="shared" si="108"/>
        <v/>
      </c>
      <c r="DC59" s="17" t="str">
        <f t="shared" si="108"/>
        <v/>
      </c>
      <c r="DE59" s="23">
        <f t="shared" si="90"/>
        <v>0</v>
      </c>
      <c r="DF59" s="23">
        <f t="shared" si="91"/>
        <v>0</v>
      </c>
    </row>
    <row r="60" spans="2:110" ht="15.75" x14ac:dyDescent="0.25">
      <c r="B60" s="28">
        <f t="shared" si="95"/>
        <v>52</v>
      </c>
      <c r="C60" s="55" t="s">
        <v>125</v>
      </c>
      <c r="D60" s="31">
        <v>1</v>
      </c>
      <c r="E60" s="32">
        <v>51</v>
      </c>
      <c r="F60" s="31" t="s">
        <v>71</v>
      </c>
      <c r="G60" s="33">
        <v>0</v>
      </c>
      <c r="H60" s="29">
        <f t="shared" si="73"/>
        <v>45991</v>
      </c>
      <c r="I60" s="29">
        <f t="shared" si="104"/>
        <v>45991</v>
      </c>
      <c r="J60" s="58" t="s">
        <v>127</v>
      </c>
      <c r="K60" s="31" t="s">
        <v>9</v>
      </c>
      <c r="L60" s="34"/>
      <c r="M60" s="30" t="str">
        <f t="shared" si="105"/>
        <v/>
      </c>
      <c r="O60" s="16" t="str">
        <f t="shared" si="110"/>
        <v/>
      </c>
      <c r="P60" s="17" t="str">
        <f t="shared" si="110"/>
        <v/>
      </c>
      <c r="Q60" s="17" t="str">
        <f t="shared" si="110"/>
        <v/>
      </c>
      <c r="R60" s="17" t="str">
        <f t="shared" si="110"/>
        <v/>
      </c>
      <c r="S60" s="17" t="str">
        <f t="shared" si="110"/>
        <v/>
      </c>
      <c r="T60" s="17" t="str">
        <f t="shared" si="110"/>
        <v/>
      </c>
      <c r="U60" s="17" t="str">
        <f t="shared" si="110"/>
        <v/>
      </c>
      <c r="V60" s="17" t="str">
        <f t="shared" si="110"/>
        <v/>
      </c>
      <c r="W60" s="17" t="str">
        <f t="shared" si="110"/>
        <v/>
      </c>
      <c r="X60" s="17" t="str">
        <f t="shared" si="110"/>
        <v/>
      </c>
      <c r="Y60" s="17" t="str">
        <f t="shared" si="110"/>
        <v/>
      </c>
      <c r="Z60" s="17" t="str">
        <f t="shared" si="110"/>
        <v/>
      </c>
      <c r="AA60" s="17" t="str">
        <f t="shared" si="110"/>
        <v/>
      </c>
      <c r="AB60" s="17" t="str">
        <f t="shared" si="110"/>
        <v/>
      </c>
      <c r="AC60" s="17" t="str">
        <f t="shared" si="110"/>
        <v/>
      </c>
      <c r="AD60" s="17" t="str">
        <f t="shared" si="110"/>
        <v/>
      </c>
      <c r="AE60" s="17" t="str">
        <f t="shared" si="107"/>
        <v/>
      </c>
      <c r="AF60" s="17" t="str">
        <f t="shared" si="107"/>
        <v/>
      </c>
      <c r="AG60" s="17" t="str">
        <f t="shared" si="107"/>
        <v/>
      </c>
      <c r="AH60" s="17" t="str">
        <f t="shared" si="107"/>
        <v/>
      </c>
      <c r="AI60" s="17" t="str">
        <f t="shared" si="107"/>
        <v/>
      </c>
      <c r="AJ60" s="17" t="str">
        <f t="shared" si="107"/>
        <v/>
      </c>
      <c r="AK60" s="17" t="str">
        <f t="shared" si="107"/>
        <v/>
      </c>
      <c r="AL60" s="17" t="str">
        <f t="shared" si="107"/>
        <v/>
      </c>
      <c r="AM60" s="17" t="str">
        <f t="shared" si="107"/>
        <v/>
      </c>
      <c r="AN60" s="17" t="str">
        <f t="shared" si="107"/>
        <v>x</v>
      </c>
      <c r="AO60" s="17" t="str">
        <f t="shared" si="107"/>
        <v/>
      </c>
      <c r="AP60" s="17" t="str">
        <f t="shared" si="107"/>
        <v/>
      </c>
      <c r="AQ60" s="17" t="str">
        <f t="shared" si="107"/>
        <v/>
      </c>
      <c r="AR60" s="17" t="str">
        <f t="shared" si="107"/>
        <v/>
      </c>
      <c r="AS60" s="17" t="str">
        <f t="shared" si="107"/>
        <v/>
      </c>
      <c r="AT60" s="17" t="str">
        <f t="shared" si="107"/>
        <v/>
      </c>
      <c r="AU60" s="17" t="str">
        <f t="shared" si="111"/>
        <v/>
      </c>
      <c r="AV60" s="17" t="str">
        <f t="shared" si="111"/>
        <v/>
      </c>
      <c r="AW60" s="17" t="str">
        <f t="shared" si="111"/>
        <v/>
      </c>
      <c r="AX60" s="17" t="str">
        <f t="shared" si="111"/>
        <v/>
      </c>
      <c r="AY60" s="17" t="str">
        <f t="shared" si="111"/>
        <v/>
      </c>
      <c r="AZ60" s="17" t="str">
        <f t="shared" si="111"/>
        <v/>
      </c>
      <c r="BA60" s="17" t="str">
        <f t="shared" si="111"/>
        <v/>
      </c>
      <c r="BB60" s="17" t="str">
        <f t="shared" si="111"/>
        <v/>
      </c>
      <c r="BC60" s="17" t="str">
        <f t="shared" si="111"/>
        <v/>
      </c>
      <c r="BD60" s="17" t="str">
        <f t="shared" si="111"/>
        <v/>
      </c>
      <c r="BE60" s="17" t="str">
        <f t="shared" si="111"/>
        <v/>
      </c>
      <c r="BF60" s="17" t="str">
        <f t="shared" si="111"/>
        <v/>
      </c>
      <c r="BG60" s="17" t="str">
        <f t="shared" si="111"/>
        <v/>
      </c>
      <c r="BH60" s="17" t="str">
        <f t="shared" si="111"/>
        <v/>
      </c>
      <c r="BI60" s="17" t="str">
        <f t="shared" si="111"/>
        <v/>
      </c>
      <c r="BJ60" s="17" t="str">
        <f t="shared" si="111"/>
        <v/>
      </c>
      <c r="BK60" s="17" t="str">
        <f t="shared" si="109"/>
        <v/>
      </c>
      <c r="BL60" s="17" t="str">
        <f t="shared" si="109"/>
        <v/>
      </c>
      <c r="BM60" s="17" t="str">
        <f t="shared" si="109"/>
        <v/>
      </c>
      <c r="BN60" s="17" t="str">
        <f t="shared" si="109"/>
        <v/>
      </c>
      <c r="BO60" s="17" t="str">
        <f t="shared" si="109"/>
        <v/>
      </c>
      <c r="BP60" s="17" t="str">
        <f t="shared" si="109"/>
        <v/>
      </c>
      <c r="BQ60" s="17" t="str">
        <f t="shared" si="109"/>
        <v/>
      </c>
      <c r="BR60" s="17" t="str">
        <f t="shared" si="109"/>
        <v/>
      </c>
      <c r="BS60" s="17" t="str">
        <f t="shared" si="109"/>
        <v/>
      </c>
      <c r="BT60" s="17" t="str">
        <f t="shared" si="109"/>
        <v/>
      </c>
      <c r="BU60" s="17" t="str">
        <f t="shared" si="109"/>
        <v/>
      </c>
      <c r="BV60" s="17" t="str">
        <f t="shared" si="109"/>
        <v/>
      </c>
      <c r="BW60" s="17" t="str">
        <f t="shared" si="109"/>
        <v/>
      </c>
      <c r="BX60" s="17" t="str">
        <f t="shared" si="106"/>
        <v/>
      </c>
      <c r="BY60" s="17" t="str">
        <f t="shared" si="106"/>
        <v/>
      </c>
      <c r="BZ60" s="17" t="str">
        <f t="shared" si="106"/>
        <v/>
      </c>
      <c r="CA60" s="17" t="str">
        <f t="shared" si="106"/>
        <v/>
      </c>
      <c r="CB60" s="17" t="str">
        <f t="shared" si="106"/>
        <v/>
      </c>
      <c r="CC60" s="17" t="str">
        <f t="shared" si="106"/>
        <v/>
      </c>
      <c r="CD60" s="17" t="str">
        <f t="shared" si="106"/>
        <v/>
      </c>
      <c r="CE60" s="17" t="str">
        <f t="shared" si="106"/>
        <v/>
      </c>
      <c r="CF60" s="17" t="str">
        <f t="shared" si="106"/>
        <v/>
      </c>
      <c r="CG60" s="17" t="str">
        <f t="shared" si="106"/>
        <v/>
      </c>
      <c r="CH60" s="17" t="str">
        <f t="shared" si="106"/>
        <v/>
      </c>
      <c r="CI60" s="17" t="str">
        <f t="shared" si="103"/>
        <v/>
      </c>
      <c r="CJ60" s="17" t="str">
        <f t="shared" si="103"/>
        <v/>
      </c>
      <c r="CK60" s="17" t="str">
        <f t="shared" si="103"/>
        <v/>
      </c>
      <c r="CL60" s="17" t="str">
        <f t="shared" si="103"/>
        <v/>
      </c>
      <c r="CM60" s="17" t="str">
        <f t="shared" si="103"/>
        <v/>
      </c>
      <c r="CN60" s="17" t="str">
        <f t="shared" si="103"/>
        <v/>
      </c>
      <c r="CO60" s="17" t="str">
        <f t="shared" si="103"/>
        <v/>
      </c>
      <c r="CP60" s="17" t="str">
        <f t="shared" si="103"/>
        <v/>
      </c>
      <c r="CQ60" s="17" t="str">
        <f t="shared" si="103"/>
        <v/>
      </c>
      <c r="CR60" s="17" t="str">
        <f t="shared" si="103"/>
        <v/>
      </c>
      <c r="CS60" s="17" t="str">
        <f t="shared" si="103"/>
        <v/>
      </c>
      <c r="CT60" s="17" t="str">
        <f t="shared" si="103"/>
        <v/>
      </c>
      <c r="CU60" s="17" t="str">
        <f t="shared" si="103"/>
        <v/>
      </c>
      <c r="CV60" s="17" t="str">
        <f t="shared" si="108"/>
        <v/>
      </c>
      <c r="CW60" s="17" t="str">
        <f t="shared" si="108"/>
        <v/>
      </c>
      <c r="CX60" s="17" t="str">
        <f t="shared" si="108"/>
        <v/>
      </c>
      <c r="CY60" s="17" t="str">
        <f t="shared" si="108"/>
        <v/>
      </c>
      <c r="CZ60" s="17" t="str">
        <f t="shared" si="108"/>
        <v/>
      </c>
      <c r="DA60" s="17" t="str">
        <f t="shared" si="108"/>
        <v/>
      </c>
      <c r="DB60" s="17" t="str">
        <f t="shared" si="108"/>
        <v/>
      </c>
      <c r="DC60" s="17" t="str">
        <f t="shared" si="108"/>
        <v/>
      </c>
      <c r="DE60" s="23">
        <f t="shared" si="90"/>
        <v>0</v>
      </c>
      <c r="DF60" s="23">
        <f t="shared" si="91"/>
        <v>0</v>
      </c>
    </row>
    <row r="61" spans="2:110" ht="15.75" x14ac:dyDescent="0.25">
      <c r="B61" s="28">
        <f t="shared" si="95"/>
        <v>53</v>
      </c>
      <c r="C61" s="55" t="s">
        <v>126</v>
      </c>
      <c r="D61" s="31">
        <v>2</v>
      </c>
      <c r="E61" s="32">
        <v>52</v>
      </c>
      <c r="F61" s="31" t="s">
        <v>60</v>
      </c>
      <c r="G61" s="33">
        <v>0</v>
      </c>
      <c r="H61" s="29">
        <f t="shared" si="73"/>
        <v>45991</v>
      </c>
      <c r="I61" s="29">
        <f t="shared" si="104"/>
        <v>45992</v>
      </c>
      <c r="J61" s="58" t="s">
        <v>127</v>
      </c>
      <c r="K61" s="31" t="s">
        <v>9</v>
      </c>
      <c r="L61" s="34"/>
      <c r="M61" s="30" t="str">
        <f t="shared" si="105"/>
        <v/>
      </c>
      <c r="O61" s="16" t="str">
        <f t="shared" si="110"/>
        <v/>
      </c>
      <c r="P61" s="17" t="str">
        <f t="shared" si="110"/>
        <v/>
      </c>
      <c r="Q61" s="17" t="str">
        <f t="shared" si="110"/>
        <v/>
      </c>
      <c r="R61" s="17" t="str">
        <f t="shared" si="110"/>
        <v/>
      </c>
      <c r="S61" s="17" t="str">
        <f t="shared" si="110"/>
        <v/>
      </c>
      <c r="T61" s="17" t="str">
        <f t="shared" si="110"/>
        <v/>
      </c>
      <c r="U61" s="17" t="str">
        <f t="shared" si="110"/>
        <v/>
      </c>
      <c r="V61" s="17" t="str">
        <f t="shared" si="110"/>
        <v/>
      </c>
      <c r="W61" s="17" t="str">
        <f t="shared" si="110"/>
        <v/>
      </c>
      <c r="X61" s="17" t="str">
        <f t="shared" si="110"/>
        <v/>
      </c>
      <c r="Y61" s="17" t="str">
        <f t="shared" si="110"/>
        <v/>
      </c>
      <c r="Z61" s="17" t="str">
        <f t="shared" si="110"/>
        <v/>
      </c>
      <c r="AA61" s="17" t="str">
        <f t="shared" si="110"/>
        <v/>
      </c>
      <c r="AB61" s="17" t="str">
        <f t="shared" si="110"/>
        <v/>
      </c>
      <c r="AC61" s="17" t="str">
        <f t="shared" si="110"/>
        <v/>
      </c>
      <c r="AD61" s="17" t="str">
        <f t="shared" si="110"/>
        <v/>
      </c>
      <c r="AE61" s="17" t="str">
        <f t="shared" si="107"/>
        <v/>
      </c>
      <c r="AF61" s="17" t="str">
        <f t="shared" si="107"/>
        <v/>
      </c>
      <c r="AG61" s="17" t="str">
        <f t="shared" si="107"/>
        <v/>
      </c>
      <c r="AH61" s="17" t="str">
        <f t="shared" si="107"/>
        <v/>
      </c>
      <c r="AI61" s="17" t="str">
        <f t="shared" si="107"/>
        <v/>
      </c>
      <c r="AJ61" s="17" t="str">
        <f t="shared" si="107"/>
        <v/>
      </c>
      <c r="AK61" s="17" t="str">
        <f t="shared" si="107"/>
        <v/>
      </c>
      <c r="AL61" s="17" t="str">
        <f t="shared" si="107"/>
        <v/>
      </c>
      <c r="AM61" s="17" t="str">
        <f t="shared" si="107"/>
        <v/>
      </c>
      <c r="AN61" s="17" t="str">
        <f t="shared" si="107"/>
        <v>x</v>
      </c>
      <c r="AO61" s="17" t="str">
        <f t="shared" si="107"/>
        <v>x</v>
      </c>
      <c r="AP61" s="17" t="str">
        <f t="shared" si="107"/>
        <v/>
      </c>
      <c r="AQ61" s="17" t="str">
        <f t="shared" si="107"/>
        <v/>
      </c>
      <c r="AR61" s="17" t="str">
        <f t="shared" si="107"/>
        <v/>
      </c>
      <c r="AS61" s="17" t="str">
        <f t="shared" si="107"/>
        <v/>
      </c>
      <c r="AT61" s="17" t="str">
        <f t="shared" si="107"/>
        <v/>
      </c>
      <c r="AU61" s="17" t="str">
        <f t="shared" si="111"/>
        <v/>
      </c>
      <c r="AV61" s="17" t="str">
        <f t="shared" si="111"/>
        <v/>
      </c>
      <c r="AW61" s="17" t="str">
        <f t="shared" si="111"/>
        <v/>
      </c>
      <c r="AX61" s="17" t="str">
        <f t="shared" si="111"/>
        <v/>
      </c>
      <c r="AY61" s="17" t="str">
        <f t="shared" si="111"/>
        <v/>
      </c>
      <c r="AZ61" s="17" t="str">
        <f t="shared" si="111"/>
        <v/>
      </c>
      <c r="BA61" s="17" t="str">
        <f t="shared" si="111"/>
        <v/>
      </c>
      <c r="BB61" s="17" t="str">
        <f t="shared" si="111"/>
        <v/>
      </c>
      <c r="BC61" s="17" t="str">
        <f t="shared" si="111"/>
        <v/>
      </c>
      <c r="BD61" s="17" t="str">
        <f t="shared" si="111"/>
        <v/>
      </c>
      <c r="BE61" s="17" t="str">
        <f t="shared" si="111"/>
        <v/>
      </c>
      <c r="BF61" s="17" t="str">
        <f t="shared" si="111"/>
        <v/>
      </c>
      <c r="BG61" s="17" t="str">
        <f t="shared" si="111"/>
        <v/>
      </c>
      <c r="BH61" s="17" t="str">
        <f t="shared" si="111"/>
        <v/>
      </c>
      <c r="BI61" s="17" t="str">
        <f t="shared" si="111"/>
        <v/>
      </c>
      <c r="BJ61" s="17" t="str">
        <f t="shared" si="111"/>
        <v/>
      </c>
      <c r="BK61" s="17" t="str">
        <f t="shared" si="109"/>
        <v/>
      </c>
      <c r="BL61" s="17" t="str">
        <f t="shared" si="109"/>
        <v/>
      </c>
      <c r="BM61" s="17" t="str">
        <f t="shared" si="109"/>
        <v/>
      </c>
      <c r="BN61" s="17" t="str">
        <f t="shared" si="109"/>
        <v/>
      </c>
      <c r="BO61" s="17" t="str">
        <f t="shared" si="109"/>
        <v/>
      </c>
      <c r="BP61" s="17" t="str">
        <f t="shared" si="109"/>
        <v/>
      </c>
      <c r="BQ61" s="17" t="str">
        <f t="shared" si="109"/>
        <v/>
      </c>
      <c r="BR61" s="17" t="str">
        <f t="shared" si="109"/>
        <v/>
      </c>
      <c r="BS61" s="17" t="str">
        <f t="shared" si="109"/>
        <v/>
      </c>
      <c r="BT61" s="17" t="str">
        <f t="shared" si="109"/>
        <v/>
      </c>
      <c r="BU61" s="17" t="str">
        <f t="shared" si="109"/>
        <v/>
      </c>
      <c r="BV61" s="17" t="str">
        <f t="shared" si="109"/>
        <v/>
      </c>
      <c r="BW61" s="17" t="str">
        <f t="shared" si="109"/>
        <v/>
      </c>
      <c r="BX61" s="17" t="str">
        <f t="shared" si="106"/>
        <v/>
      </c>
      <c r="BY61" s="17" t="str">
        <f t="shared" si="106"/>
        <v/>
      </c>
      <c r="BZ61" s="17" t="str">
        <f t="shared" si="106"/>
        <v/>
      </c>
      <c r="CA61" s="17" t="str">
        <f t="shared" si="106"/>
        <v/>
      </c>
      <c r="CB61" s="17" t="str">
        <f t="shared" si="106"/>
        <v/>
      </c>
      <c r="CC61" s="17" t="str">
        <f t="shared" si="106"/>
        <v/>
      </c>
      <c r="CD61" s="17" t="str">
        <f t="shared" si="106"/>
        <v/>
      </c>
      <c r="CE61" s="17" t="str">
        <f t="shared" si="106"/>
        <v/>
      </c>
      <c r="CF61" s="17" t="str">
        <f t="shared" si="106"/>
        <v/>
      </c>
      <c r="CG61" s="17" t="str">
        <f t="shared" si="106"/>
        <v/>
      </c>
      <c r="CH61" s="17" t="str">
        <f t="shared" si="106"/>
        <v/>
      </c>
      <c r="CI61" s="17" t="str">
        <f t="shared" si="103"/>
        <v/>
      </c>
      <c r="CJ61" s="17" t="str">
        <f t="shared" si="103"/>
        <v/>
      </c>
      <c r="CK61" s="17" t="str">
        <f t="shared" si="103"/>
        <v/>
      </c>
      <c r="CL61" s="17" t="str">
        <f t="shared" si="103"/>
        <v/>
      </c>
      <c r="CM61" s="17" t="str">
        <f t="shared" si="103"/>
        <v/>
      </c>
      <c r="CN61" s="17" t="str">
        <f t="shared" si="103"/>
        <v/>
      </c>
      <c r="CO61" s="17" t="str">
        <f t="shared" si="103"/>
        <v/>
      </c>
      <c r="CP61" s="17" t="str">
        <f t="shared" si="103"/>
        <v/>
      </c>
      <c r="CQ61" s="17" t="str">
        <f t="shared" si="103"/>
        <v/>
      </c>
      <c r="CR61" s="17" t="str">
        <f t="shared" si="103"/>
        <v/>
      </c>
      <c r="CS61" s="17" t="str">
        <f t="shared" si="103"/>
        <v/>
      </c>
      <c r="CT61" s="17" t="str">
        <f t="shared" si="103"/>
        <v/>
      </c>
      <c r="CU61" s="17" t="str">
        <f t="shared" si="103"/>
        <v/>
      </c>
      <c r="CV61" s="17" t="str">
        <f t="shared" si="108"/>
        <v/>
      </c>
      <c r="CW61" s="17" t="str">
        <f t="shared" si="108"/>
        <v/>
      </c>
      <c r="CX61" s="17" t="str">
        <f t="shared" si="108"/>
        <v/>
      </c>
      <c r="CY61" s="17" t="str">
        <f t="shared" si="108"/>
        <v/>
      </c>
      <c r="CZ61" s="17" t="str">
        <f t="shared" si="108"/>
        <v/>
      </c>
      <c r="DA61" s="17" t="str">
        <f t="shared" si="108"/>
        <v/>
      </c>
      <c r="DB61" s="17" t="str">
        <f t="shared" si="108"/>
        <v/>
      </c>
      <c r="DC61" s="17" t="str">
        <f t="shared" si="108"/>
        <v/>
      </c>
      <c r="DE61" s="23">
        <f t="shared" si="90"/>
        <v>0</v>
      </c>
      <c r="DF61" s="23">
        <f t="shared" si="91"/>
        <v>0</v>
      </c>
    </row>
    <row r="62" spans="2:110" ht="15.75" x14ac:dyDescent="0.25">
      <c r="B62" s="28"/>
      <c r="C62" s="55"/>
      <c r="D62" s="31"/>
      <c r="E62" s="32"/>
      <c r="F62" s="31"/>
      <c r="G62" s="33"/>
      <c r="H62" s="29"/>
      <c r="I62" s="29"/>
      <c r="J62" s="31"/>
      <c r="K62" s="31"/>
      <c r="L62" s="34"/>
      <c r="M62" s="30"/>
      <c r="O62" s="16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</row>
    <row r="63" spans="2:110" ht="15.75" x14ac:dyDescent="0.25">
      <c r="B63" s="28"/>
      <c r="C63" s="55"/>
      <c r="D63" s="31"/>
      <c r="E63" s="32"/>
      <c r="F63" s="31"/>
      <c r="G63" s="33"/>
      <c r="H63" s="29"/>
      <c r="I63" s="29"/>
      <c r="J63" s="31"/>
      <c r="K63" s="31"/>
      <c r="L63" s="34"/>
      <c r="M63" s="30"/>
      <c r="O63" s="16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</row>
    <row r="64" spans="2:110" ht="15.75" x14ac:dyDescent="0.25">
      <c r="B64" s="28"/>
      <c r="C64" s="56"/>
      <c r="D64" s="31"/>
      <c r="E64" s="32"/>
      <c r="F64" s="31"/>
      <c r="G64" s="33"/>
      <c r="H64" s="29"/>
      <c r="I64" s="29"/>
      <c r="J64" s="31"/>
      <c r="K64" s="31"/>
      <c r="L64" s="34"/>
      <c r="M64" s="30"/>
      <c r="O64" s="16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</row>
    <row r="65" spans="2:107" ht="15.75" x14ac:dyDescent="0.25">
      <c r="B65" s="28"/>
      <c r="C65" s="55"/>
      <c r="D65" s="31"/>
      <c r="E65" s="32"/>
      <c r="F65" s="31"/>
      <c r="G65" s="33"/>
      <c r="H65" s="29"/>
      <c r="I65" s="29"/>
      <c r="J65" s="31"/>
      <c r="K65" s="31"/>
      <c r="L65" s="34"/>
      <c r="M65" s="30"/>
      <c r="O65" s="16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</row>
    <row r="66" spans="2:107" ht="15.75" x14ac:dyDescent="0.25">
      <c r="B66" s="28"/>
      <c r="C66" s="56"/>
      <c r="D66" s="31"/>
      <c r="E66" s="32"/>
      <c r="F66" s="31"/>
      <c r="G66" s="33"/>
      <c r="H66" s="29"/>
      <c r="I66" s="29"/>
      <c r="J66" s="31"/>
      <c r="K66" s="31"/>
      <c r="L66" s="34"/>
      <c r="M66" s="30"/>
      <c r="O66" s="16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</row>
    <row r="67" spans="2:107" ht="15.75" x14ac:dyDescent="0.25">
      <c r="B67" s="28"/>
      <c r="C67" s="55"/>
      <c r="D67" s="31"/>
      <c r="E67" s="32"/>
      <c r="F67" s="31"/>
      <c r="G67" s="33"/>
      <c r="H67" s="29"/>
      <c r="I67" s="29"/>
      <c r="J67" s="31"/>
      <c r="K67" s="31"/>
      <c r="L67" s="34"/>
      <c r="M67" s="30"/>
      <c r="O67" s="16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</row>
    <row r="68" spans="2:107" ht="15.75" x14ac:dyDescent="0.25">
      <c r="B68" s="28"/>
      <c r="C68" s="55"/>
      <c r="D68" s="31"/>
      <c r="E68" s="32"/>
      <c r="F68" s="31"/>
      <c r="G68" s="33"/>
      <c r="H68" s="29"/>
      <c r="I68" s="29"/>
      <c r="J68" s="31"/>
      <c r="K68" s="31"/>
      <c r="L68" s="34"/>
      <c r="M68" s="30"/>
      <c r="O68" s="16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</row>
    <row r="69" spans="2:107" ht="15.75" x14ac:dyDescent="0.25">
      <c r="B69" s="28"/>
      <c r="C69" s="55"/>
      <c r="D69" s="31"/>
      <c r="E69" s="32"/>
      <c r="F69" s="31"/>
      <c r="G69" s="33"/>
      <c r="H69" s="29"/>
      <c r="I69" s="29"/>
      <c r="J69" s="31"/>
      <c r="K69" s="31"/>
      <c r="L69" s="34"/>
      <c r="M69" s="30"/>
      <c r="O69" s="16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</row>
    <row r="70" spans="2:107" ht="15.75" x14ac:dyDescent="0.25">
      <c r="B70" s="28"/>
      <c r="C70" s="56"/>
      <c r="D70" s="31"/>
      <c r="E70" s="32"/>
      <c r="F70" s="31"/>
      <c r="G70" s="33"/>
      <c r="H70" s="29"/>
      <c r="I70" s="29"/>
      <c r="J70" s="31"/>
      <c r="K70" s="31"/>
      <c r="L70" s="34"/>
      <c r="M70" s="30"/>
      <c r="O70" s="16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</row>
    <row r="71" spans="2:107" ht="15.75" x14ac:dyDescent="0.25">
      <c r="C71" s="55" t="s">
        <v>77</v>
      </c>
    </row>
    <row r="72" spans="2:107" ht="15.75" x14ac:dyDescent="0.25">
      <c r="C72" s="55" t="s">
        <v>77</v>
      </c>
    </row>
    <row r="73" spans="2:107" ht="15.75" x14ac:dyDescent="0.25">
      <c r="C73" s="56" t="s">
        <v>77</v>
      </c>
    </row>
    <row r="74" spans="2:107" ht="15.75" x14ac:dyDescent="0.25">
      <c r="C74" s="55" t="s">
        <v>77</v>
      </c>
    </row>
    <row r="75" spans="2:107" ht="15.75" x14ac:dyDescent="0.25">
      <c r="C75" s="55" t="s">
        <v>77</v>
      </c>
    </row>
    <row r="76" spans="2:107" ht="15.75" x14ac:dyDescent="0.25">
      <c r="C76" s="55" t="s">
        <v>77</v>
      </c>
    </row>
    <row r="77" spans="2:107" ht="15.75" x14ac:dyDescent="0.25">
      <c r="C77" s="55" t="s">
        <v>77</v>
      </c>
    </row>
    <row r="78" spans="2:107" ht="15.75" x14ac:dyDescent="0.25">
      <c r="C78" s="56" t="s">
        <v>77</v>
      </c>
    </row>
    <row r="79" spans="2:107" ht="15.75" x14ac:dyDescent="0.25">
      <c r="C79" s="55" t="s">
        <v>77</v>
      </c>
    </row>
    <row r="80" spans="2:107" ht="15.75" x14ac:dyDescent="0.25">
      <c r="C80" s="56" t="s">
        <v>77</v>
      </c>
    </row>
    <row r="81" spans="3:3" ht="15.75" x14ac:dyDescent="0.25">
      <c r="C81" s="55" t="s">
        <v>77</v>
      </c>
    </row>
    <row r="82" spans="3:3" ht="15.75" x14ac:dyDescent="0.25">
      <c r="C82" s="55" t="s">
        <v>77</v>
      </c>
    </row>
    <row r="83" spans="3:3" ht="15.75" x14ac:dyDescent="0.25">
      <c r="C83" s="56" t="s">
        <v>77</v>
      </c>
    </row>
    <row r="84" spans="3:3" ht="15.75" x14ac:dyDescent="0.25">
      <c r="C84" s="55" t="s">
        <v>77</v>
      </c>
    </row>
  </sheetData>
  <mergeCells count="8">
    <mergeCell ref="B6:C6"/>
    <mergeCell ref="B5:C5"/>
    <mergeCell ref="B3:C3"/>
    <mergeCell ref="D3:H3"/>
    <mergeCell ref="B4:C4"/>
    <mergeCell ref="D4:H4"/>
    <mergeCell ref="D5:H5"/>
    <mergeCell ref="D6:H6"/>
  </mergeCells>
  <conditionalFormatting sqref="K9:K70">
    <cfRule type="cellIs" dxfId="4" priority="3" operator="equal">
      <formula>"No comenzado"</formula>
    </cfRule>
    <cfRule type="cellIs" dxfId="3" priority="4" operator="equal">
      <formula>"En progreso"</formula>
    </cfRule>
    <cfRule type="cellIs" dxfId="2" priority="5" operator="equal">
      <formula>"Retrasado"</formula>
    </cfRule>
    <cfRule type="cellIs" dxfId="1" priority="6" operator="equal">
      <formula>"Completado"</formula>
    </cfRule>
  </conditionalFormatting>
  <conditionalFormatting sqref="O9:DC70">
    <cfRule type="cellIs" dxfId="0" priority="1" operator="equal">
      <formula>"x"</formula>
    </cfRule>
  </conditionalFormatting>
  <dataValidations count="2">
    <dataValidation type="list" allowBlank="1" showInputMessage="1" showErrorMessage="1" sqref="F9:F70">
      <formula1>"CC,FC"</formula1>
    </dataValidation>
    <dataValidation type="list" allowBlank="1" showInputMessage="1" showErrorMessage="1" sqref="K9:K70">
      <formula1>"Completado,Retrasado,En progreso,No comenzado"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showGridLines="0" zoomScale="85" zoomScaleNormal="85" workbookViewId="0">
      <selection activeCell="X35" sqref="X35"/>
    </sheetView>
  </sheetViews>
  <sheetFormatPr baseColWidth="10" defaultRowHeight="15" x14ac:dyDescent="0.25"/>
  <cols>
    <col min="2" max="2" width="27.42578125" customWidth="1"/>
    <col min="3" max="3" width="16.42578125" customWidth="1"/>
    <col min="4" max="4" width="14.28515625" customWidth="1"/>
    <col min="6" max="6" width="19.42578125" customWidth="1"/>
    <col min="7" max="7" width="16" customWidth="1"/>
    <col min="8" max="8" width="16.42578125" customWidth="1"/>
    <col min="9" max="9" width="16" customWidth="1"/>
    <col min="13" max="13" width="3.140625" hidden="1" customWidth="1"/>
    <col min="14" max="14" width="73.42578125" hidden="1" customWidth="1"/>
    <col min="15" max="15" width="5.140625" hidden="1" customWidth="1"/>
    <col min="16" max="16" width="2.85546875" hidden="1" customWidth="1"/>
    <col min="17" max="17" width="12.7109375" hidden="1" customWidth="1"/>
    <col min="18" max="18" width="5.5703125" hidden="1" customWidth="1"/>
    <col min="19" max="19" width="11.42578125" hidden="1" customWidth="1"/>
  </cols>
  <sheetData>
    <row r="1" spans="2:18" ht="45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</row>
    <row r="3" spans="2:18" x14ac:dyDescent="0.25">
      <c r="B3" s="8" t="s">
        <v>11</v>
      </c>
      <c r="C3" s="9">
        <f ca="1">TODAY()</f>
        <v>45971</v>
      </c>
    </row>
    <row r="4" spans="2:18" x14ac:dyDescent="0.25">
      <c r="B4" s="8" t="s">
        <v>12</v>
      </c>
      <c r="C4" s="19">
        <f>IF('Información del proyecto'!D5="","",'Información del proyecto'!D5)</f>
        <v>25</v>
      </c>
    </row>
    <row r="5" spans="2:18" x14ac:dyDescent="0.25">
      <c r="B5" s="8" t="s">
        <v>13</v>
      </c>
      <c r="C5" s="19">
        <f ca="1">IF('Información del proyecto'!D4="","",C3-'Información del proyecto'!D4)</f>
        <v>5</v>
      </c>
    </row>
    <row r="6" spans="2:18" x14ac:dyDescent="0.25">
      <c r="B6" s="8" t="s">
        <v>19</v>
      </c>
      <c r="C6" s="19">
        <f ca="1">IF('Información del proyecto'!D4="","",C4-C5)</f>
        <v>20</v>
      </c>
      <c r="N6" s="18" t="s">
        <v>17</v>
      </c>
      <c r="O6" s="18" t="s">
        <v>18</v>
      </c>
      <c r="Q6" s="20" t="s">
        <v>3</v>
      </c>
      <c r="R6" s="21">
        <f>IF(COUNTA('Información del proyecto'!$K$9:$K$61)=0,NA(),COUNTIF('Información del proyecto'!$K$9:$K$61,Reportes!Q6)/COUNTA('Información del proyecto'!$K$9:$K$61))</f>
        <v>0</v>
      </c>
    </row>
    <row r="7" spans="2:18" x14ac:dyDescent="0.25">
      <c r="M7">
        <v>1</v>
      </c>
      <c r="N7" s="18" t="str">
        <f>IF('Información del proyecto'!C9="","",'Información del proyecto'!C9)</f>
        <v>1.0 INICIACIÓN Y PLANIFICACIÓN DEL PROYECTO</v>
      </c>
      <c r="O7" s="18">
        <f>IF('Información del proyecto'!D9="","",'Información del proyecto'!D9)</f>
        <v>2</v>
      </c>
      <c r="Q7" s="20" t="s">
        <v>4</v>
      </c>
      <c r="R7" s="21">
        <f>IF(COUNTA('Información del proyecto'!$K$9:$K$61)=0,NA(),COUNTIF('Información del proyecto'!$K$9:$K$61,Reportes!Q7)/COUNTA('Información del proyecto'!$K$9:$K$61))</f>
        <v>0</v>
      </c>
    </row>
    <row r="8" spans="2:18" ht="18" customHeight="1" x14ac:dyDescent="0.25">
      <c r="G8" s="7"/>
      <c r="H8" s="7"/>
      <c r="I8" s="7"/>
      <c r="M8">
        <v>2</v>
      </c>
      <c r="N8" s="18" t="str">
        <f>IF('Información del proyecto'!C10="","",'Información del proyecto'!C10)</f>
        <v>1.1 Product Backlog inicial</v>
      </c>
      <c r="O8" s="18">
        <f>IF('Información del proyecto'!D10="","",'Información del proyecto'!D10)</f>
        <v>1</v>
      </c>
      <c r="Q8" s="20" t="s">
        <v>5</v>
      </c>
      <c r="R8" s="21">
        <f>IF(COUNTA('Información del proyecto'!$K$9:$K$61)=0,NA(),COUNTIF('Información del proyecto'!$K$9:$K$61,Reportes!Q8)/COUNTA('Información del proyecto'!$K$9:$K$61))</f>
        <v>0</v>
      </c>
    </row>
    <row r="9" spans="2:18" x14ac:dyDescent="0.25">
      <c r="G9" s="10"/>
      <c r="H9" s="1"/>
      <c r="I9" s="11"/>
      <c r="M9">
        <v>3</v>
      </c>
      <c r="N9" s="18" t="str">
        <f>IF('Información del proyecto'!C11="","",'Información del proyecto'!C11)</f>
        <v>1.2 Definición de roles Scrum</v>
      </c>
      <c r="O9" s="18">
        <f>IF('Información del proyecto'!D11="","",'Información del proyecto'!D11)</f>
        <v>1</v>
      </c>
      <c r="Q9" s="20" t="s">
        <v>9</v>
      </c>
      <c r="R9" s="21">
        <f>IF(COUNTA('Información del proyecto'!$K$9:$K$61)=0,NA(),COUNTIF('Información del proyecto'!$K$9:$K$61,Reportes!Q9)/COUNTA('Información del proyecto'!$K$9:$K$61))</f>
        <v>1</v>
      </c>
    </row>
    <row r="10" spans="2:18" x14ac:dyDescent="0.25">
      <c r="G10" s="10"/>
      <c r="H10" s="1"/>
      <c r="I10" s="12"/>
      <c r="M10">
        <v>4</v>
      </c>
      <c r="N10" s="18" t="str">
        <f>IF('Información del proyecto'!C13="","",'Información del proyecto'!C13)</f>
        <v>2.0 ANÁLISIS DE NEGOCIO Y REQUIREMENTS</v>
      </c>
      <c r="O10" s="18">
        <f>IF('Información del proyecto'!D12="","",'Información del proyecto'!D12)</f>
        <v>1</v>
      </c>
    </row>
    <row r="11" spans="2:18" x14ac:dyDescent="0.25">
      <c r="G11" s="10"/>
      <c r="H11" s="1"/>
      <c r="I11" s="11"/>
      <c r="M11">
        <v>5</v>
      </c>
      <c r="N11" s="18" t="str">
        <f>IF('Información del proyecto'!C14="","",'Información del proyecto'!C14)</f>
        <v>2.1 Refinamiento de User Stories</v>
      </c>
      <c r="O11" s="18">
        <f>IF('Información del proyecto'!D13="","",'Información del proyecto'!D13)</f>
        <v>2</v>
      </c>
    </row>
    <row r="12" spans="2:18" x14ac:dyDescent="0.25">
      <c r="G12" s="10"/>
      <c r="H12" s="1"/>
      <c r="I12" s="11"/>
      <c r="M12">
        <v>6</v>
      </c>
      <c r="N12" s="18" t="str">
        <f>IF('Información del proyecto'!C15="","",'Información del proyecto'!C15)</f>
        <v>2.2 Definición de criterios de aceptación</v>
      </c>
      <c r="O12" s="18">
        <f>IF('Información del proyecto'!D14="","",'Información del proyecto'!D14)</f>
        <v>1</v>
      </c>
    </row>
    <row r="13" spans="2:18" x14ac:dyDescent="0.25">
      <c r="G13" s="10"/>
      <c r="H13" s="1"/>
      <c r="I13" s="11"/>
      <c r="M13">
        <v>7</v>
      </c>
      <c r="N13" s="18" t="str">
        <f>IF('Información del proyecto'!C18="","",'Información del proyecto'!C18)</f>
        <v>3.0 ARQUITECTURA Y DISEÑO DEL SISTEMA</v>
      </c>
      <c r="O13" s="18">
        <f>IF('Información del proyecto'!D15="","",'Información del proyecto'!D15)</f>
        <v>1</v>
      </c>
    </row>
    <row r="14" spans="2:18" x14ac:dyDescent="0.25">
      <c r="M14">
        <v>8</v>
      </c>
      <c r="N14" s="18" t="str">
        <f>IF('Información del proyecto'!C19="","",'Información del proyecto'!C19)</f>
        <v>3.1 Diseño de base de datos</v>
      </c>
      <c r="O14" s="18">
        <f>IF('Información del proyecto'!D18="","",'Información del proyecto'!D18)</f>
        <v>2</v>
      </c>
    </row>
    <row r="15" spans="2:18" x14ac:dyDescent="0.25">
      <c r="M15">
        <v>9</v>
      </c>
      <c r="N15" s="18" t="str">
        <f>IF('Información del proyecto'!C20="","",'Información del proyecto'!C20)</f>
        <v>3.2 Arquitectura de monolito modular</v>
      </c>
      <c r="O15" s="18">
        <f>IF('Información del proyecto'!D19="","",'Información del proyecto'!D19)</f>
        <v>1</v>
      </c>
    </row>
    <row r="16" spans="2:18" x14ac:dyDescent="0.25">
      <c r="M16">
        <v>10</v>
      </c>
      <c r="N16" s="18" t="str">
        <f>IF('Información del proyecto'!C21="","",'Información del proyecto'!C21)</f>
        <v xml:space="preserve"> 3.3 Definición de APIs</v>
      </c>
      <c r="O16" s="18">
        <f>IF('Información del proyecto'!D20="","",'Información del proyecto'!D20)</f>
        <v>1</v>
      </c>
    </row>
    <row r="17" spans="3:16" x14ac:dyDescent="0.25">
      <c r="M17">
        <v>11</v>
      </c>
      <c r="N17" s="18" t="str">
        <f>IF('Información del proyecto'!C22="","",'Información del proyecto'!C22)</f>
        <v>3.4 Diagrama C4</v>
      </c>
      <c r="O17" s="18">
        <f>IF('Información del proyecto'!D21="","",'Información del proyecto'!D21)</f>
        <v>1</v>
      </c>
    </row>
    <row r="18" spans="3:16" x14ac:dyDescent="0.25">
      <c r="M18">
        <v>12</v>
      </c>
      <c r="N18" s="18" t="str">
        <f>IF('Información del proyecto'!C23="","",'Información del proyecto'!C23)</f>
        <v>4.0 DESARROLLO - CORE BACKEND</v>
      </c>
      <c r="O18" s="18">
        <f>IF('Información del proyecto'!D22="","",'Información del proyecto'!D22)</f>
        <v>1</v>
      </c>
    </row>
    <row r="19" spans="3:16" x14ac:dyDescent="0.25">
      <c r="M19">
        <v>13</v>
      </c>
      <c r="N19" s="18" t="str">
        <f>IF('Información del proyecto'!C24="","",'Información del proyecto'!C24)</f>
        <v>4.1 Desarrollo de Modelo de Datos</v>
      </c>
      <c r="O19" s="18">
        <f>IF('Información del proyecto'!D23="","",'Información del proyecto'!D23)</f>
        <v>4</v>
      </c>
    </row>
    <row r="20" spans="3:16" x14ac:dyDescent="0.25">
      <c r="M20">
        <v>14</v>
      </c>
      <c r="N20" s="18" t="str">
        <f>IF('Información del proyecto'!C25="","",'Información del proyecto'!C25)</f>
        <v>4.2 Módulo de Autenticación</v>
      </c>
      <c r="O20" s="18">
        <f>IF('Información del proyecto'!D24="","",'Información del proyecto'!D24)</f>
        <v>1</v>
      </c>
      <c r="P20" s="2"/>
    </row>
    <row r="21" spans="3:16" x14ac:dyDescent="0.25">
      <c r="M21">
        <v>15</v>
      </c>
      <c r="N21" s="18" t="str">
        <f>IF('Información del proyecto'!C26="","",'Información del proyecto'!C26)</f>
        <v>4.3 Módulo de generacion de link</v>
      </c>
      <c r="O21" s="18">
        <f>IF('Información del proyecto'!D25="","",'Información del proyecto'!D25)</f>
        <v>1</v>
      </c>
      <c r="P21" s="2"/>
    </row>
    <row r="22" spans="3:16" x14ac:dyDescent="0.25">
      <c r="F22" s="2"/>
      <c r="G22" s="2"/>
      <c r="H22" s="2"/>
      <c r="I22" s="2"/>
      <c r="J22" s="2"/>
      <c r="K22" s="2"/>
      <c r="L22" s="2"/>
      <c r="M22">
        <v>16</v>
      </c>
      <c r="N22" s="18" t="str">
        <f>IF('Información del proyecto'!C27="","",'Información del proyecto'!C27)</f>
        <v>4.4 Modulo de captura de datos del postulante</v>
      </c>
      <c r="O22" s="18">
        <f>IF('Información del proyecto'!D26="","",'Información del proyecto'!D26)</f>
        <v>1</v>
      </c>
      <c r="P22" s="2"/>
    </row>
    <row r="23" spans="3:16" x14ac:dyDescent="0.25">
      <c r="F23" s="3"/>
      <c r="G23" s="3"/>
      <c r="H23" s="3"/>
      <c r="I23" s="3"/>
      <c r="J23" s="3"/>
      <c r="K23" s="3"/>
      <c r="L23" s="3"/>
      <c r="M23">
        <v>17</v>
      </c>
      <c r="N23" s="18" t="str">
        <f>IF('Información del proyecto'!C28="","",'Información del proyecto'!C28)</f>
        <v>4.4.1 Verificacion de datos según condiciones</v>
      </c>
      <c r="O23" s="18">
        <f>IF('Información del proyecto'!D27="","",'Información del proyecto'!D27)</f>
        <v>1</v>
      </c>
      <c r="P23" s="3"/>
    </row>
    <row r="24" spans="3:16" x14ac:dyDescent="0.25">
      <c r="C24" s="4"/>
      <c r="F24" s="75" t="s">
        <v>10</v>
      </c>
      <c r="G24" s="75"/>
      <c r="H24" s="3"/>
      <c r="I24" s="3"/>
      <c r="J24" s="3"/>
      <c r="K24" s="3"/>
      <c r="L24" s="3"/>
      <c r="M24">
        <v>18</v>
      </c>
      <c r="N24" s="18" t="str">
        <f>IF('Información del proyecto'!C29="","",'Información del proyecto'!C29)</f>
        <v>4.5 Exportado de datos para Smart Boleta</v>
      </c>
      <c r="O24" s="18">
        <f>IF('Información del proyecto'!D28="","",'Información del proyecto'!D28)</f>
        <v>1</v>
      </c>
      <c r="P24" s="3"/>
    </row>
    <row r="25" spans="3:16" x14ac:dyDescent="0.25">
      <c r="D25" s="1"/>
      <c r="E25" s="2"/>
      <c r="F25" s="5" t="s">
        <v>6</v>
      </c>
      <c r="G25" s="6">
        <f>SUM('Información del proyecto'!DF9:DF61)</f>
        <v>0</v>
      </c>
      <c r="I25" s="3"/>
      <c r="J25" s="3"/>
      <c r="K25" s="3"/>
      <c r="L25" s="3"/>
      <c r="M25">
        <v>19</v>
      </c>
      <c r="N25" s="18" t="str">
        <f>IF('Información del proyecto'!C30="","",'Información del proyecto'!C30)</f>
        <v>4.6 Validaciones Adicionales</v>
      </c>
      <c r="O25" s="18">
        <f>IF('Información del proyecto'!D29="","",'Información del proyecto'!D29)</f>
        <v>1</v>
      </c>
      <c r="P25" s="3"/>
    </row>
    <row r="26" spans="3:16" x14ac:dyDescent="0.25">
      <c r="D26" s="1"/>
      <c r="E26" s="2"/>
      <c r="F26" s="5" t="s">
        <v>7</v>
      </c>
      <c r="G26" s="6">
        <f>SUM('Información del proyecto'!DE9:DE61)</f>
        <v>0</v>
      </c>
      <c r="I26" s="2"/>
      <c r="J26" s="2"/>
      <c r="K26" s="2"/>
      <c r="L26" s="2"/>
      <c r="M26">
        <v>20</v>
      </c>
      <c r="N26" s="18" t="str">
        <f>IF('Información del proyecto'!C31="","",'Información del proyecto'!C31)</f>
        <v>4.7 Gestión de Remuneración y Bonos</v>
      </c>
      <c r="O26" s="18">
        <f>IF('Información del proyecto'!D30="","",'Información del proyecto'!D30)</f>
        <v>1</v>
      </c>
      <c r="P26" s="2"/>
    </row>
    <row r="27" spans="3:16" x14ac:dyDescent="0.25">
      <c r="M27">
        <v>21</v>
      </c>
      <c r="N27" s="18" t="str">
        <f>IF('Información del proyecto'!C32="","",'Información del proyecto'!C32)</f>
        <v>5.0 DESARROLLO - FUNCIONALIDADES AVANZADAS</v>
      </c>
      <c r="O27" s="18">
        <f>IF('Información del proyecto'!D31="","",'Información del proyecto'!D31)</f>
        <v>1</v>
      </c>
      <c r="P27" s="2"/>
    </row>
    <row r="28" spans="3:16" x14ac:dyDescent="0.25">
      <c r="M28">
        <v>22</v>
      </c>
      <c r="N28" s="18" t="str">
        <f>IF('Información del proyecto'!C33="","",'Información del proyecto'!C33)</f>
        <v>5.1 Reportes</v>
      </c>
      <c r="O28" s="18">
        <f>IF('Información del proyecto'!D32="","",'Información del proyecto'!D32)</f>
        <v>3</v>
      </c>
      <c r="P28" s="2"/>
    </row>
    <row r="29" spans="3:16" x14ac:dyDescent="0.25">
      <c r="D29" s="2"/>
      <c r="E29" s="2"/>
      <c r="F29" s="2"/>
      <c r="G29" s="2"/>
      <c r="M29">
        <v>23</v>
      </c>
      <c r="N29" s="18" t="str">
        <f>IF('Información del proyecto'!C34="","",'Información del proyecto'!C34)</f>
        <v>5.2 Black List</v>
      </c>
      <c r="O29" s="18">
        <f>IF('Información del proyecto'!D33="","",'Información del proyecto'!D33)</f>
        <v>2</v>
      </c>
    </row>
    <row r="30" spans="3:16" x14ac:dyDescent="0.25">
      <c r="D30" s="2"/>
      <c r="E30" s="2"/>
      <c r="F30" s="2"/>
      <c r="G30" s="2"/>
      <c r="M30">
        <v>24</v>
      </c>
      <c r="N30" s="18" t="str">
        <f>IF('Información del proyecto'!C35="","",'Información del proyecto'!C35)</f>
        <v>5.2 Planificacion para integrar con app de Formacion y etapa 2 (smart boleta)</v>
      </c>
      <c r="O30" s="18">
        <f>IF('Información del proyecto'!D34="","",'Información del proyecto'!D34)</f>
        <v>1</v>
      </c>
    </row>
    <row r="31" spans="3:16" x14ac:dyDescent="0.25">
      <c r="M31">
        <v>25</v>
      </c>
      <c r="N31" s="18" t="str">
        <f>IF('Información del proyecto'!C36="","",'Información del proyecto'!C36)</f>
        <v>6.0 TESTING</v>
      </c>
      <c r="O31" s="18">
        <f>IF('Información del proyecto'!D35="","",'Información del proyecto'!D35)</f>
        <v>1</v>
      </c>
    </row>
    <row r="32" spans="3:16" x14ac:dyDescent="0.25">
      <c r="M32">
        <v>26</v>
      </c>
      <c r="N32" s="18" t="str">
        <f>IF('Información del proyecto'!C37="","",'Información del proyecto'!C37)</f>
        <v>6.1 Testing de APIs</v>
      </c>
      <c r="O32" s="18">
        <f>IF('Información del proyecto'!D36="","",'Información del proyecto'!D36)</f>
        <v>2</v>
      </c>
    </row>
    <row r="33" spans="13:15" x14ac:dyDescent="0.25">
      <c r="M33">
        <v>27</v>
      </c>
      <c r="N33" s="18" t="str">
        <f>IF('Información del proyecto'!C38="","",'Información del proyecto'!C38)</f>
        <v>6.2 Testing Unitario</v>
      </c>
      <c r="O33" s="18">
        <f>IF('Información del proyecto'!D37="","",'Información del proyecto'!D37)</f>
        <v>1</v>
      </c>
    </row>
    <row r="34" spans="13:15" x14ac:dyDescent="0.25">
      <c r="M34">
        <v>28</v>
      </c>
      <c r="N34" s="18" t="str">
        <f>IF('Información del proyecto'!C39="","",'Información del proyecto'!C39)</f>
        <v>6.3 Integration testing</v>
      </c>
      <c r="O34" s="18">
        <f>IF('Información del proyecto'!D38="","",'Información del proyecto'!D38)</f>
        <v>1</v>
      </c>
    </row>
    <row r="35" spans="13:15" x14ac:dyDescent="0.25">
      <c r="M35">
        <v>29</v>
      </c>
      <c r="N35" s="18" t="str">
        <f>IF('Información del proyecto'!C40="","",'Información del proyecto'!C40)</f>
        <v>6.4 Performance testing</v>
      </c>
      <c r="O35" s="18">
        <f>IF('Información del proyecto'!D39="","",'Información del proyecto'!D39)</f>
        <v>1</v>
      </c>
    </row>
    <row r="36" spans="13:15" x14ac:dyDescent="0.25">
      <c r="M36">
        <v>30</v>
      </c>
      <c r="N36" s="18" t="str">
        <f>IF('Información del proyecto'!C41="","",'Información del proyecto'!C41)</f>
        <v xml:space="preserve">7.0 DESARROLLO - FRONTEND </v>
      </c>
      <c r="O36" s="18">
        <f>IF('Información del proyecto'!D40="","",'Información del proyecto'!D40)</f>
        <v>1</v>
      </c>
    </row>
    <row r="37" spans="13:15" x14ac:dyDescent="0.25">
      <c r="M37">
        <v>31</v>
      </c>
      <c r="N37" s="18" t="str">
        <f>IF('Información del proyecto'!C42="","",'Información del proyecto'!C42)</f>
        <v>7.1 Arquitectura Frontend</v>
      </c>
      <c r="O37" s="18">
        <f>IF('Información del proyecto'!D41="","",'Información del proyecto'!D41)</f>
        <v>3</v>
      </c>
    </row>
    <row r="38" spans="13:15" x14ac:dyDescent="0.25">
      <c r="M38">
        <v>32</v>
      </c>
      <c r="N38" s="18" t="str">
        <f>IF('Información del proyecto'!C43="","",'Información del proyecto'!C43)</f>
        <v>7.1.1 Vista Login</v>
      </c>
      <c r="O38" s="18">
        <f>IF('Información del proyecto'!D42="","",'Información del proyecto'!D42)</f>
        <v>1</v>
      </c>
    </row>
    <row r="39" spans="13:15" x14ac:dyDescent="0.25">
      <c r="M39">
        <v>33</v>
      </c>
      <c r="N39" s="18" t="str">
        <f>IF('Información del proyecto'!C44="","",'Información del proyecto'!C44)</f>
        <v>7.1.2 Vista generar Link</v>
      </c>
      <c r="O39" s="18">
        <f>IF('Información del proyecto'!D43="","",'Información del proyecto'!D43)</f>
        <v>1</v>
      </c>
    </row>
    <row r="40" spans="13:15" x14ac:dyDescent="0.25">
      <c r="M40">
        <v>34</v>
      </c>
      <c r="N40" s="18" t="str">
        <f>IF('Información del proyecto'!C45="","",'Información del proyecto'!C45)</f>
        <v>7.1.3 Vista formulario postulante</v>
      </c>
      <c r="O40" s="18">
        <f>IF('Información del proyecto'!D44="","",'Información del proyecto'!D44)</f>
        <v>1</v>
      </c>
    </row>
    <row r="41" spans="13:15" x14ac:dyDescent="0.25">
      <c r="M41">
        <v>35</v>
      </c>
      <c r="N41" s="18" t="str">
        <f>IF('Información del proyecto'!C46="","",'Información del proyecto'!C46)</f>
        <v>7.1.4 Vista verificacion de datos</v>
      </c>
      <c r="O41" s="18">
        <f>IF('Información del proyecto'!D45="","",'Información del proyecto'!D45)</f>
        <v>1</v>
      </c>
    </row>
    <row r="42" spans="13:15" x14ac:dyDescent="0.25">
      <c r="M42">
        <v>36</v>
      </c>
      <c r="N42" s="18" t="str">
        <f>IF('Información del proyecto'!C47="","",'Información del proyecto'!C47)</f>
        <v>7.1.5 Vista lista de postulantes para exportado</v>
      </c>
      <c r="O42" s="18">
        <f>IF('Información del proyecto'!D46="","",'Información del proyecto'!D46)</f>
        <v>1</v>
      </c>
    </row>
    <row r="43" spans="13:15" x14ac:dyDescent="0.25">
      <c r="M43">
        <v>37</v>
      </c>
      <c r="N43" s="18" t="str">
        <f>IF('Información del proyecto'!C48="","",'Información del proyecto'!C48)</f>
        <v>7.1.6 Vista validaciones adicionales</v>
      </c>
      <c r="O43" s="18">
        <f>IF('Información del proyecto'!D47="","",'Información del proyecto'!D47)</f>
        <v>1</v>
      </c>
    </row>
    <row r="44" spans="13:15" x14ac:dyDescent="0.25">
      <c r="M44">
        <v>38</v>
      </c>
      <c r="N44" s="18" t="str">
        <f>IF('Información del proyecto'!C49="","",'Información del proyecto'!C49)</f>
        <v>7.1.7 Vista gestion de remuneraciones y bonos</v>
      </c>
      <c r="O44" s="18">
        <f>IF('Información del proyecto'!D48="","",'Información del proyecto'!D48)</f>
        <v>1</v>
      </c>
    </row>
    <row r="45" spans="13:15" x14ac:dyDescent="0.25">
      <c r="M45">
        <v>39</v>
      </c>
      <c r="N45" s="18" t="str">
        <f>IF('Información del proyecto'!C50="","",'Información del proyecto'!C50)</f>
        <v>7.1.8 Vista reportes</v>
      </c>
      <c r="O45" s="18">
        <f>IF('Información del proyecto'!D49="","",'Información del proyecto'!D49)</f>
        <v>1</v>
      </c>
    </row>
    <row r="46" spans="13:15" x14ac:dyDescent="0.25">
      <c r="M46">
        <v>40</v>
      </c>
      <c r="N46" s="18" t="str">
        <f>IF('Información del proyecto'!C51="","",'Información del proyecto'!C51)</f>
        <v>8.0 TESTING DE INTEGRACION BXF</v>
      </c>
      <c r="O46" s="18">
        <f>IF('Información del proyecto'!D50="","",'Información del proyecto'!D50)</f>
        <v>1</v>
      </c>
    </row>
    <row r="47" spans="13:15" x14ac:dyDescent="0.25">
      <c r="M47">
        <v>41</v>
      </c>
      <c r="N47" s="18" t="str">
        <f>IF('Información del proyecto'!C52="","",'Información del proyecto'!C52)</f>
        <v>8.1 UAT con usuarios finales</v>
      </c>
      <c r="O47" s="18">
        <f>IF('Información del proyecto'!D51="","",'Información del proyecto'!D51)</f>
        <v>4</v>
      </c>
    </row>
    <row r="48" spans="13:15" x14ac:dyDescent="0.25">
      <c r="M48">
        <v>42</v>
      </c>
      <c r="N48" s="18" t="str">
        <f>IF('Información del proyecto'!C53="","",'Información del proyecto'!C53)</f>
        <v>8.2 Testing de usabilidad</v>
      </c>
      <c r="O48" s="18">
        <f>IF('Información del proyecto'!D52="","",'Información del proyecto'!D52)</f>
        <v>1</v>
      </c>
    </row>
    <row r="49" spans="13:15" x14ac:dyDescent="0.25">
      <c r="M49">
        <v>43</v>
      </c>
      <c r="N49" s="18" t="str">
        <f>IF('Información del proyecto'!C54="","",'Información del proyecto'!C54)</f>
        <v>8.3 Corrección de bugs</v>
      </c>
      <c r="O49" s="18">
        <f>IF('Información del proyecto'!D53="","",'Información del proyecto'!D53)</f>
        <v>1</v>
      </c>
    </row>
    <row r="50" spans="13:15" x14ac:dyDescent="0.25">
      <c r="M50">
        <v>44</v>
      </c>
      <c r="N50" s="18" t="str">
        <f>IF('Información del proyecto'!C55="","",'Información del proyecto'!C55)</f>
        <v xml:space="preserve">9.0 DEPLOYMENT Y OPERACIONES </v>
      </c>
      <c r="O50" s="18">
        <f>IF('Información del proyecto'!D54="","",'Información del proyecto'!D54)</f>
        <v>3</v>
      </c>
    </row>
    <row r="51" spans="13:15" x14ac:dyDescent="0.25">
      <c r="M51">
        <v>45</v>
      </c>
      <c r="N51" s="18" t="str">
        <f>IF('Información del proyecto'!C56="","",'Información del proyecto'!C56)</f>
        <v>9.1 Deploy a producción</v>
      </c>
      <c r="O51" s="18">
        <f>IF('Información del proyecto'!D55="","",'Información del proyecto'!D55)</f>
        <v>3</v>
      </c>
    </row>
    <row r="52" spans="13:15" x14ac:dyDescent="0.25">
      <c r="M52">
        <v>46</v>
      </c>
      <c r="N52" s="18" t="str">
        <f>IF('Información del proyecto'!C57="","",'Información del proyecto'!C57)</f>
        <v>9.2 Capacitación a usuarios</v>
      </c>
      <c r="O52" s="18">
        <f>IF('Información del proyecto'!D56="","",'Información del proyecto'!D56)</f>
        <v>1</v>
      </c>
    </row>
    <row r="53" spans="13:15" x14ac:dyDescent="0.25">
      <c r="M53">
        <v>47</v>
      </c>
      <c r="N53" s="18" t="str">
        <f>IF('Información del proyecto'!C58="","",'Información del proyecto'!C58)</f>
        <v>9.2 Documentación técnica</v>
      </c>
      <c r="O53" s="18">
        <f>IF('Información del proyecto'!D57="","",'Información del proyecto'!D57)</f>
        <v>1</v>
      </c>
    </row>
    <row r="54" spans="13:15" x14ac:dyDescent="0.25">
      <c r="M54">
        <v>48</v>
      </c>
      <c r="N54" s="18" t="str">
        <f>IF('Información del proyecto'!C59="","",'Información del proyecto'!C59)</f>
        <v xml:space="preserve">10.0 CIERRE DEL PROYECTO </v>
      </c>
      <c r="O54" s="18">
        <f>IF('Información del proyecto'!D58="","",'Información del proyecto'!D58)</f>
        <v>2</v>
      </c>
    </row>
    <row r="55" spans="13:15" x14ac:dyDescent="0.25">
      <c r="M55">
        <v>49</v>
      </c>
      <c r="N55" s="18" t="str">
        <f>IF('Información del proyecto'!C60="","",'Información del proyecto'!C60)</f>
        <v>10.1 Retrospectiva final</v>
      </c>
      <c r="O55" s="18">
        <f>IF('Información del proyecto'!D59="","",'Información del proyecto'!D59)</f>
        <v>2</v>
      </c>
    </row>
    <row r="56" spans="13:15" x14ac:dyDescent="0.25">
      <c r="M56">
        <v>50</v>
      </c>
      <c r="N56" s="18" t="str">
        <f>IF('Información del proyecto'!C61="","",'Información del proyecto'!C61)</f>
        <v>10.2 Documentación Final</v>
      </c>
      <c r="O56" s="18">
        <f>IF('Información del proyecto'!D60="","",'Información del proyecto'!D60)</f>
        <v>1</v>
      </c>
    </row>
  </sheetData>
  <mergeCells count="1">
    <mergeCell ref="F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 de Uso</vt:lpstr>
      <vt:lpstr>Información del proyecto</vt:lpstr>
      <vt:lpstr>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Lavodnos</cp:lastModifiedBy>
  <dcterms:created xsi:type="dcterms:W3CDTF">2017-09-09T12:50:47Z</dcterms:created>
  <dcterms:modified xsi:type="dcterms:W3CDTF">2025-11-10T17:22:32Z</dcterms:modified>
</cp:coreProperties>
</file>